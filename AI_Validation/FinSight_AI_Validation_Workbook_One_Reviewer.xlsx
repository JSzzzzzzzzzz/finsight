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laragon\www\finsight\AI_Validation\"/>
    </mc:Choice>
  </mc:AlternateContent>
  <xr:revisionPtr revIDLastSave="0" documentId="13_ncr:1_{F0DF6060-EBFE-4C79-AD97-48ED3D183DF1}" xr6:coauthVersionLast="47" xr6:coauthVersionMax="47" xr10:uidLastSave="{00000000-0000-0000-0000-000000000000}"/>
  <bookViews>
    <workbookView xWindow="-108" yWindow="-108" windowWidth="23256" windowHeight="12456" firstSheet="1" activeTab="3" xr2:uid="{00000000-000D-0000-FFFF-FFFF00000000}"/>
  </bookViews>
  <sheets>
    <sheet name="Instructions" sheetId="1" r:id="rId1"/>
    <sheet name="Headline Dataset" sheetId="2" r:id="rId2"/>
    <sheet name="FinBERT Metrics" sheetId="3" r:id="rId3"/>
    <sheet name="OpenAI Review" sheetId="4" r:id="rId4"/>
    <sheet name="OpenAI Sumary" sheetId="6" r:id="rId5"/>
    <sheet name="Integration Tests"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3" l="1"/>
  <c r="C22" i="3"/>
  <c r="B22" i="3"/>
  <c r="D21" i="3"/>
  <c r="C21" i="3"/>
  <c r="B21" i="3"/>
  <c r="D20" i="3"/>
  <c r="C20" i="3"/>
  <c r="B20" i="3"/>
  <c r="E13" i="3"/>
  <c r="C13" i="3"/>
  <c r="B13" i="3"/>
  <c r="E12" i="3"/>
  <c r="C12" i="3"/>
  <c r="B12" i="3"/>
  <c r="E11" i="3"/>
  <c r="C11" i="3"/>
  <c r="B11" i="3"/>
  <c r="B7" i="3"/>
  <c r="B6" i="3"/>
  <c r="B5" i="3"/>
  <c r="B4" i="3"/>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D12" i="3" l="1"/>
  <c r="D13" i="3"/>
  <c r="D11" i="3"/>
  <c r="B16" i="3"/>
  <c r="C14" i="3"/>
  <c r="E14" i="3"/>
  <c r="B14" i="3"/>
  <c r="D14" i="3" l="1"/>
</calcChain>
</file>

<file path=xl/sharedStrings.xml><?xml version="1.0" encoding="utf-8"?>
<sst xmlns="http://schemas.openxmlformats.org/spreadsheetml/2006/main" count="741" uniqueCount="408">
  <si>
    <t>FinSight AI Validation Workbook — One Researcher</t>
  </si>
  <si>
    <t>Purpose</t>
  </si>
  <si>
    <t>Use this workbook to validate FinBERT sentiment classification, review OpenAI output, and record AI integration tests.</t>
  </si>
  <si>
    <t>Dataset target</t>
  </si>
  <si>
    <t>Use 60 CryptoCompare headlines: 20 positive, 20 negative, and 20 neutral after manual researcher labelling.</t>
  </si>
  <si>
    <t>Single-researcher design</t>
  </si>
  <si>
    <t>Only one human label column is used: researcher_label. It is treated as the ground-truth label for this individual FYP.</t>
  </si>
  <si>
    <t>Step 1</t>
  </si>
  <si>
    <t>Run collect_cryptocompare_dataset_one_reviewer.py in the FinSight project root. It reads CRYPTOCOMPARE_API_KEY from the Laravel .env file.</t>
  </si>
  <si>
    <t>Step 2</t>
  </si>
  <si>
    <t>Copy the selected CSV rows into the Headline Dataset sheet.</t>
  </si>
  <si>
    <t>Step 3</t>
  </si>
  <si>
    <t>Manually review every headline and complete researcher_label before running FinBERT. Do not copy the provisional label automatically.</t>
  </si>
  <si>
    <t>Step 4</t>
  </si>
  <si>
    <t>For mixed or unclear headlines, add a short explanation in notes.</t>
  </si>
  <si>
    <t>Step 5</t>
  </si>
  <si>
    <t>Run all labelled headlines through the existing /analyze-sentiment endpoint and enter the prediction and probabilities.</t>
  </si>
  <si>
    <t>Step 6</t>
  </si>
  <si>
    <t>The FinBERT Metrics sheet automatically calculates accuracy, precision, recall, per-class F1-score, macro F1-score, and confusion matrix.</t>
  </si>
  <si>
    <t>Report placement</t>
  </si>
  <si>
    <t>Summarise the dataset in Section 5.6.2 and provide the completed workbook or CSV as appendix/supplementary evidence.</t>
  </si>
  <si>
    <t>Limitation</t>
  </si>
  <si>
    <t>Because one researcher labelled the dataset, acknowledge possible subjectivity for ambiguous or mixed-sentiment headlines.</t>
  </si>
  <si>
    <t>FinBERT Cryptocurrency Headline Validation Dataset</t>
  </si>
  <si>
    <t>id</t>
  </si>
  <si>
    <t>headline</t>
  </si>
  <si>
    <t>source</t>
  </si>
  <si>
    <t>published_at</t>
  </si>
  <si>
    <t>crypto_asset</t>
  </si>
  <si>
    <t>article_url</t>
  </si>
  <si>
    <t>provisional_label</t>
  </si>
  <si>
    <t>researcher_label</t>
  </si>
  <si>
    <t>notes</t>
  </si>
  <si>
    <t>finbert_prediction</t>
  </si>
  <si>
    <t>positive_probability</t>
  </si>
  <si>
    <t>negative_probability</t>
  </si>
  <si>
    <t>neutral_probability</t>
  </si>
  <si>
    <t>correct</t>
  </si>
  <si>
    <t>FinBERT Evaluation Metrics</t>
  </si>
  <si>
    <t>Researcher Label Distribution</t>
  </si>
  <si>
    <t>Count</t>
  </si>
  <si>
    <t>Positive</t>
  </si>
  <si>
    <t>Negative</t>
  </si>
  <si>
    <t>Neutral</t>
  </si>
  <si>
    <t>Total</t>
  </si>
  <si>
    <t>Sentiment Class</t>
  </si>
  <si>
    <t>Precision</t>
  </si>
  <si>
    <t>Recall</t>
  </si>
  <si>
    <t>F1-Score</t>
  </si>
  <si>
    <t>Number of Headlines</t>
  </si>
  <si>
    <t>Macro Average</t>
  </si>
  <si>
    <t>Overall Accuracy</t>
  </si>
  <si>
    <t>Actual Researcher Label</t>
  </si>
  <si>
    <t>Predicted Positive</t>
  </si>
  <si>
    <t>Predicted Negative</t>
  </si>
  <si>
    <t>Predicted Neutral</t>
  </si>
  <si>
    <t>OpenAI Market Abstract and Deep Dive Human Review</t>
  </si>
  <si>
    <t>scenario_id</t>
  </si>
  <si>
    <t>scenario_type</t>
  </si>
  <si>
    <t>asset</t>
  </si>
  <si>
    <t>input_headlines_summary</t>
  </si>
  <si>
    <t>finbert_dominant_sentiment</t>
  </si>
  <si>
    <t>risk_score</t>
  </si>
  <si>
    <t>risk_level</t>
  </si>
  <si>
    <t>generated_output</t>
  </si>
  <si>
    <t>relevance</t>
  </si>
  <si>
    <t>sentiment_consistency</t>
  </si>
  <si>
    <t>factual_grounding</t>
  </si>
  <si>
    <t>clarity</t>
  </si>
  <si>
    <t>conciseness</t>
  </si>
  <si>
    <t>key_driver_identification</t>
  </si>
  <si>
    <t>safety</t>
  </si>
  <si>
    <t>average_score</t>
  </si>
  <si>
    <t>researcher_comments</t>
  </si>
  <si>
    <t>S01</t>
  </si>
  <si>
    <t>S02</t>
  </si>
  <si>
    <t>S03</t>
  </si>
  <si>
    <t>S04</t>
  </si>
  <si>
    <t>S05</t>
  </si>
  <si>
    <t>S06</t>
  </si>
  <si>
    <t>S07</t>
  </si>
  <si>
    <t>S08</t>
  </si>
  <si>
    <t>S09</t>
  </si>
  <si>
    <t>S10</t>
  </si>
  <si>
    <t>S11</t>
  </si>
  <si>
    <t>S12</t>
  </si>
  <si>
    <t>AI Integration and Reliability Tests</t>
  </si>
  <si>
    <t>Test Condition</t>
  </si>
  <si>
    <t>Expected Result</t>
  </si>
  <si>
    <t>Actual Result</t>
  </si>
  <si>
    <t>Status</t>
  </si>
  <si>
    <t>Valid list of headlines submitted to FinBERT</t>
  </si>
  <si>
    <t>Sentiment labels, probabilities, risk score and risk level are returned</t>
  </si>
  <si>
    <t>Empty headline list submitted</t>
  </si>
  <si>
    <t>HTTP 400 response with "No texts provided"</t>
  </si>
  <si>
    <t>Valid positive headline</t>
  </si>
  <si>
    <t>Positive probability and predicted label are returned</t>
  </si>
  <si>
    <t>Valid negative headline</t>
  </si>
  <si>
    <t>Negative probability and predicted label are returned</t>
  </si>
  <si>
    <t>Valid neutral headline</t>
  </si>
  <si>
    <t>Neutral probability and predicted label are returned</t>
  </si>
  <si>
    <t>Calculated risk score below 35</t>
  </si>
  <si>
    <t>Risk level is classified as Low</t>
  </si>
  <si>
    <t>Calculated risk score equal to 35</t>
  </si>
  <si>
    <t>Risk level is classified as Medium</t>
  </si>
  <si>
    <t>Calculated risk score equal to 60</t>
  </si>
  <si>
    <t>Risk level is classified as High</t>
  </si>
  <si>
    <t>OpenAI request succeeds</t>
  </si>
  <si>
    <t>Generated Market Abstract or Deep Dive explanation is returned</t>
  </si>
  <si>
    <t>OpenAI request fails</t>
  </si>
  <si>
    <t>Controlled fallback message is returned</t>
  </si>
  <si>
    <t>No asset-specific news is found</t>
  </si>
  <si>
    <t>Recent general cryptocurrency news is used as a fallback</t>
  </si>
  <si>
    <t>Unsupported Deep Dive symbol is submitted</t>
  </si>
  <si>
    <t>Request is rejected through validation</t>
  </si>
  <si>
    <t>Japanese Yen: Intervention Risk Caps Downside Against US Dollar, Says MUFG</t>
  </si>
  <si>
    <t>bitcoinworld</t>
  </si>
  <si>
    <t>2026-06-24 09:45:12 UTC</t>
  </si>
  <si>
    <t>GENERAL</t>
  </si>
  <si>
    <t>https://bitcoinworld.co.in/japanese-yen-intervention-risk-mufg-2/</t>
  </si>
  <si>
    <t>positive</t>
  </si>
  <si>
    <t>Bitcoin Holds Near $63K as $589M Liquidations Hit, Tokenized RWA Tops $28B</t>
  </si>
  <si>
    <t>coinotag</t>
  </si>
  <si>
    <t>2026-06-24 09:44:12 UTC</t>
  </si>
  <si>
    <t>BTC</t>
  </si>
  <si>
    <t>https://en.coinotag.com/bitcoin-holds-63k-589m-liquidations-tokenized-rwa-tops-28b</t>
  </si>
  <si>
    <t>negative</t>
  </si>
  <si>
    <t>Is Saylor’s Strategy Sat on $1.5Bb Cashflow Problem? Grayscale Think So</t>
  </si>
  <si>
    <t>cryptonews</t>
  </si>
  <si>
    <t>2026-06-24 09:46:09 UTC</t>
  </si>
  <si>
    <t>https://cryptonews.com/news/strategy-bitcoin-sale-preferred-dividend-crisis/</t>
  </si>
  <si>
    <t>neutral</t>
  </si>
  <si>
    <t>Euro Extends Decline Against US Dollar as Firm Fed Rate Hike Bets Persist</t>
  </si>
  <si>
    <t>2026-06-24 09:40:11 UTC</t>
  </si>
  <si>
    <t>https://bitcoinworld.co.in/euro-extends-decline-us-dollar-fed-rate-hike-bets/</t>
  </si>
  <si>
    <t>XRP fell below key support to $1.05-$1.10, retesting 2026 lows amid declining network activity</t>
  </si>
  <si>
    <t>cointurken</t>
  </si>
  <si>
    <t>2026-06-24 09:24:05 UTC</t>
  </si>
  <si>
    <t>XRP</t>
  </si>
  <si>
    <t>https://en.coin-turk.com/xrp-fell-below-key-support-to-1-05-1-10-retesting-2026-lows-amid-declining-network-activity/?utm_source=rss&amp;utm_medium=rss&amp;utm_campaign=xrp-fell-below-key-support-to-1-05-1-10-retesting-2026-lows-amid-declining-network-activity</t>
  </si>
  <si>
    <t>US House committee to discuss CLARITY Act on July 17, spotlight on XRP as regulatory clarity nears</t>
  </si>
  <si>
    <t>2026-06-24 09:44:05 UTC</t>
  </si>
  <si>
    <t>https://en.coin-turk.com/us-house-committee-to-discuss-clarity-act-on-july-17-spotlight-on-xrp-as-regulatory-clarity-nears/?utm_source=rss&amp;utm_medium=rss&amp;utm_campaign=us-house-committee-to-discuss-clarity-act-on-july-17-spotlight-on-xrp-as-regulatory-clarity-nears</t>
  </si>
  <si>
    <t>Bitcoin ticks up on positive U.S.-Iran talks, but gains capped by rate hike bets</t>
  </si>
  <si>
    <t>investing_comcryptonews</t>
  </si>
  <si>
    <t>2026-06-24 09:17:28 UTC</t>
  </si>
  <si>
    <t>https://www.investing.com/news/cryptocurrency-news/bitcoin-stalls-at-64k-amid-mixed-signals-on-usiran-talks-4751794</t>
  </si>
  <si>
    <t>HYPE price tests key $62 support as traders weigh rebound after 15% drop</t>
  </si>
  <si>
    <t>invezz</t>
  </si>
  <si>
    <t>2026-06-24 09:23:16 UTC</t>
  </si>
  <si>
    <t>https://invezz.com/news/2026/06/24/hype-price-tests-key-62-support-as-traders-weigh-rebound-after-15-drop/</t>
  </si>
  <si>
    <t>Can LINK price reclaim $8 as Chainlink targets real-time FX settlement?</t>
  </si>
  <si>
    <t>2026-06-24 09:40:56 UTC</t>
  </si>
  <si>
    <t>LINK</t>
  </si>
  <si>
    <t>https://invezz.com/news/2026/06/24/can-link-price-reclaim-8-as-chainlink-targets-real-time-fx-settlement/</t>
  </si>
  <si>
    <t>XRP Futures Signal Bullish Sentiment as Price Slips to $1.1</t>
  </si>
  <si>
    <t>2026-06-24 09:15:12 UTC</t>
  </si>
  <si>
    <t>https://bitcoinworld.co.in/xrp-futures-bullish-sentiment-price-drop/</t>
  </si>
  <si>
    <t>Bitcoin’s Price Rejected at $63K as This Altcoin Explodes by 40%: Market Watch</t>
  </si>
  <si>
    <t>cryptopotato</t>
  </si>
  <si>
    <t>2026-06-24 09:17:10 UTC</t>
  </si>
  <si>
    <t>https://cryptopotato.com/bitcoins-price-rejected-at-63k-as-this-altcoin-explodes-by-40-market-watch/</t>
  </si>
  <si>
    <t>BTC price four-year trend calls for $76K as analysis says Bitcoin 'not broken'</t>
  </si>
  <si>
    <t>cointelegraph</t>
  </si>
  <si>
    <t>2026-06-24 09:40:13 UTC</t>
  </si>
  <si>
    <t>https://cointelegraph.com/markets/bitcoin-four-year-trend-calls-for-76k-as-analysis-says-btc-price-not-broken?utm_source=rss&amp;utm_medium=rss&amp;utm_campaign=rss</t>
  </si>
  <si>
    <t>New Listings Surge! HTX Weekly Recap (June 15–21): Newly Listed RE and O Prices Double Upon Debut While DeFi Emerges as the Dominant Market Narrative</t>
  </si>
  <si>
    <t>huobi</t>
  </si>
  <si>
    <t>2026-06-24 09:11:35 UTC</t>
  </si>
  <si>
    <t>https://square.htx.com/new-listings-surge-htx-weekly-recap-june-15-21-newly-listed-re-and-o-prices-double-upon-debut-while-defi-emerges-as-the-dominant-market-narrative/</t>
  </si>
  <si>
    <t>Bitcoin Faces Potential Drop to $46,000 If Key Support at $60,587 Fails, Analyst Warns</t>
  </si>
  <si>
    <t>2026-06-24 09:00:12 UTC</t>
  </si>
  <si>
    <t>https://bitcoinworld.co.in/bitcoin-potential-drop-46000-support-fails-ali-martinez/</t>
  </si>
  <si>
    <t>XRP Holds $1.10 as Whales Net 1.53B Tokens While Derivatives Bets Split on CLARITY Act</t>
  </si>
  <si>
    <t>2026-06-24 09:38:55 UTC</t>
  </si>
  <si>
    <t>https://en.coinotag.com/xrp-holds-1-10-whales-net-1-53b-derivatives-split-clarity-act</t>
  </si>
  <si>
    <t>Virell Trade Launches Stabliq Wallet for Stablecoin Management on Ethereum and TRON</t>
  </si>
  <si>
    <t>2026-06-24 09:06:21 UTC</t>
  </si>
  <si>
    <t>ETH</t>
  </si>
  <si>
    <t>https://www.investing.com/news/cryptocurrency-news/virell-trade-launches-stabliq-wallet-for-stablecoin-management-on-ethereum-and-tron-4757582</t>
  </si>
  <si>
    <t>THORChain resumes trading 39 days after $10.7 million vault exploit</t>
  </si>
  <si>
    <t>coinpaprika</t>
  </si>
  <si>
    <t>2026-06-24 09:00:00 UTC</t>
  </si>
  <si>
    <t>https://coinpaprika.com/news/thorchain-resumes-trading-39-days-107-million</t>
  </si>
  <si>
    <t>Here’s How the Catholic Church Could Kill CLARITY Act Over Human Trafficking</t>
  </si>
  <si>
    <t>2026-06-24 09:36:09 UTC</t>
  </si>
  <si>
    <t>https://cryptonews.com/news/clarity-act-defi-exemption-catholic-leaders-aml/</t>
  </si>
  <si>
    <t>Silver Price Stages Recovery From Six-Month Lows: What’s Driving the Move</t>
  </si>
  <si>
    <t>2026-06-24 08:30:11 UTC</t>
  </si>
  <si>
    <t>https://bitcoinworld.co.in/silver-price-rebound-xagusd-six-month-lows/</t>
  </si>
  <si>
    <t>Chainlink selected as key technology provider for $10 trillion cross border payment project with 47 banks</t>
  </si>
  <si>
    <t>2026-06-24 08:53:05 UTC</t>
  </si>
  <si>
    <t>https://en.coin-turk.com/chainlink-selected-as-key-technology-provider-for-10-trillion-cross-border-payment-project-with-47-banks/?utm_source=rss&amp;utm_medium=rss&amp;utm_campaign=chainlink-selected-as-key-technology-provider-for-10-trillion-cross-border-payment-project-with-47-banks</t>
  </si>
  <si>
    <t>European Bond Yields Slide as Falling Oil Prices Calm Inflation Fears</t>
  </si>
  <si>
    <t>2026-06-24 09:35:11 UTC</t>
  </si>
  <si>
    <t>https://bitcoinworld.co.in/european-bond-yields-slide-oil-prices-inflation/</t>
  </si>
  <si>
    <t>US Dollar Rally Extends to Fresh 13-Month High: What’s Driving the Surge?</t>
  </si>
  <si>
    <t>2026-06-24 08:15:11 UTC</t>
  </si>
  <si>
    <t>https://bitcoinworld.co.in/us-dollar-rally-13-month-high/</t>
  </si>
  <si>
    <t>Bitcoin bulls face $64,000 test as ETF outflows weaken sentiment</t>
  </si>
  <si>
    <t>2026-06-24 08:38:03 UTC</t>
  </si>
  <si>
    <t>https://invezz.com/news/2026/06/24/bitcoin-bulls-face-64000-test-as-etf-outflows-weaken-sentiment/</t>
  </si>
  <si>
    <t>Tempting levels reached in Strategy’s Bitcoin reserves! What is the concern that has investors on alert?</t>
  </si>
  <si>
    <t>2026-06-24 09:32:05 UTC</t>
  </si>
  <si>
    <t>https://en.coin-turk.com/tempting-levels-reached-in-strategys-bitcoin-reserves-what-is-the-concern-that-has-investors-on-alert/?utm_source=rss&amp;utm_medium=rss&amp;utm_campaign=tempting-levels-reached-in-strategys-bitcoin-reserves-what-is-the-concern-that-has-investors-on-alert</t>
  </si>
  <si>
    <t>USD/CAD Rally Extends Beyond 1.4200 as US Dollar Continues to Outperform</t>
  </si>
  <si>
    <t>2026-06-24 07:55:11 UTC</t>
  </si>
  <si>
    <t>https://bitcoinworld.co.in/usd-cad-rally-extends-beyond-1-4200/</t>
  </si>
  <si>
    <t>Singapore Dollar Under Pressure as US Dollar Strengthens: Commerzbank</t>
  </si>
  <si>
    <t>2026-06-24 08:35:11 UTC</t>
  </si>
  <si>
    <t>https://bitcoinworld.co.in/singapore-dollar-pressure-us-dollar-commerzbank/</t>
  </si>
  <si>
    <t>Hut 8 Investors Reach $2.35 Million Settlement Over US Bitcoin Merger Claims</t>
  </si>
  <si>
    <t>bitcoin.com</t>
  </si>
  <si>
    <t>2026-06-24 09:30:50 UTC</t>
  </si>
  <si>
    <t>https://news.bitcoin.com/hut-8-investors-reach-2-35-million-settlement-over-us-bitcoin-merger-claims/</t>
  </si>
  <si>
    <t>CBOE Launches Prediction Markets With S&amp;P 500 Binary Contracts</t>
  </si>
  <si>
    <t>2026-06-24 07:26:40 UTC</t>
  </si>
  <si>
    <t>https://cryptopotato.com/cboe-launches-prediction-markets-with-sp-500-binary-contracts/</t>
  </si>
  <si>
    <t>Solana fell over 5% in 24 hours as whales opened major short positions near $69</t>
  </si>
  <si>
    <t>2026-06-24 08:32:12 UTC</t>
  </si>
  <si>
    <t>SOL</t>
  </si>
  <si>
    <t>https://en.coin-turk.com/solana-fell-over-5-in-24-hours-as-whales-opened-major-short-positions-near-69/?utm_source=rss&amp;utm_medium=rss&amp;utm_campaign=solana-fell-over-5-in-24-hours-as-whales-opened-major-short-positions-near-69</t>
  </si>
  <si>
    <t>Bithumb Refuses to Support Humanity (H) Token Swap, Flags Investor Protection Gaps</t>
  </si>
  <si>
    <t>2026-06-24 09:30:10 UTC</t>
  </si>
  <si>
    <t>https://bitcoinworld.co.in/bithumb-humanity-h-token-swap/</t>
  </si>
  <si>
    <t>Dollar Surges Past 1,545 Won in Intraday Trading, Marking 19-Day High</t>
  </si>
  <si>
    <t>2026-06-24 07:25:11 UTC</t>
  </si>
  <si>
    <t>https://bitcoinworld.co.in/dollar-surges-past-1545-won-intraday/</t>
  </si>
  <si>
    <t>US House Sends Fed CBDC Ban to Trump’s Desk as Housing Bill Clears Congress</t>
  </si>
  <si>
    <t>2026-06-24 08:30:15 UTC</t>
  </si>
  <si>
    <t>https://news.bitcoin.com/us-house-fed-cbdc-ban-trump-2030/</t>
  </si>
  <si>
    <t>OKX to List Nesa (NES) for Spot Trading Today</t>
  </si>
  <si>
    <t>2026-06-24 09:25:11 UTC</t>
  </si>
  <si>
    <t>https://bitcoinworld.co.in/okx-lists-nesa-nes-spot-trading/</t>
  </si>
  <si>
    <t>Trump lands in Senate's crosshairs over $500 million UAE investment in his crypto venture</t>
  </si>
  <si>
    <t>coindesk</t>
  </si>
  <si>
    <t>2026-06-24 07:18:21 UTC</t>
  </si>
  <si>
    <t>https://www.coindesk.com/policy/2026/06/24/trump-lands-in-senate-s-crosshairs-over-usd500-million-uae-investment-in-his-crypto-venture</t>
  </si>
  <si>
    <t>Tech-Led Decline Weighs on US Equities, Deutsche Bank Reports</t>
  </si>
  <si>
    <t>2026-06-24 08:25:11 UTC</t>
  </si>
  <si>
    <t>https://bitcoinworld.co.in/tech-led-decline-us-equities-deutsche-bank/</t>
  </si>
  <si>
    <t>Crypto News, June 24: Crypto Chaos as BTC USD Tumbles with Chip Stocks, ETH Foundation Axes Staff, Rate Hike Looms</t>
  </si>
  <si>
    <t>2026-06-24 09:23:41 UTC</t>
  </si>
  <si>
    <t>BTC,ETH</t>
  </si>
  <si>
    <t>https://cryptonews.com/news/crypto-news-june-24-crypto-chaos-as-btc-usd-tumbles-with-chip-stocks-eth-foundation-axes-staff-rate-hike-looms/</t>
  </si>
  <si>
    <t>OpenPayd secures MiCA license as stablecoin adoption grows in Europe</t>
  </si>
  <si>
    <t>2026-06-24 07:17:46 UTC</t>
  </si>
  <si>
    <t>https://cointelegraph.com/news/openpayd-mica-license-stablecoin-adoption-europe?utm_source=rss&amp;utm_medium=rss&amp;utm_campaign=rss</t>
  </si>
  <si>
    <t>MSTR Stock Crash: Investors Fear Dilution as Bitcoin Holdings Grow</t>
  </si>
  <si>
    <t>coinpedia</t>
  </si>
  <si>
    <t>2026-06-24 08:14:57 UTC</t>
  </si>
  <si>
    <t>https://coinpedia.org/news/wall-street-losing-interest-in-michael-saylor-google-trends-shows-drop-in-mstr-stock/</t>
  </si>
  <si>
    <t>CryptoQuant Says Strategy Should Pause Bitcoin Buys And Rebuild Cash Reserves</t>
  </si>
  <si>
    <t>bitcoinist</t>
  </si>
  <si>
    <t>2026-06-24 09:21:22 UTC</t>
  </si>
  <si>
    <t>https://bitcoinist.com/cryptoquant-says-strategy-should-pause-bitcoin-buys-and-rebuild-cash-reserves/</t>
  </si>
  <si>
    <t>Is the DEXE rally over?</t>
  </si>
  <si>
    <t>2026-06-24 06:42:26 UTC</t>
  </si>
  <si>
    <t>https://invezz.com/news/2026/06/24/is-the-dexe-rally-over/</t>
  </si>
  <si>
    <t>SecondFi confirmed 16 million ADA stolen, warns up to 129 million ADA at risk in Cardano wallet breach</t>
  </si>
  <si>
    <t>2026-06-24 08:13:12 UTC</t>
  </si>
  <si>
    <t>ADA</t>
  </si>
  <si>
    <t>https://en.coin-turk.com/secondfi-confirmed-16-million-ada-stolen-warns-up-to-129-million-ada-at-risk-in-cardano-wallet-breach/?utm_source=rss&amp;utm_medium=rss&amp;utm_campaign=secondfi-confirmed-16-million-ada-stolen-warns-up-to-129-million-ada-at-risk-in-cardano-wallet-breach</t>
  </si>
  <si>
    <t>Robinhood Stock Breaks Free from Bitcoin’s Orbit, Rallying as Crypto Slumps</t>
  </si>
  <si>
    <t>2026-06-24 09:20:11 UTC</t>
  </si>
  <si>
    <t>https://bitcoinworld.co.in/robinhood-stock-decouples-from-bitcoin/</t>
  </si>
  <si>
    <t>Bitcoin’s ‘OG’ investors have slowed selling in a bullish sign for the market</t>
  </si>
  <si>
    <t>2026-06-24 06:39:41 UTC</t>
  </si>
  <si>
    <t>https://www.coindesk.com/markets/2026/06/24/bitcoin-s-og-investors-have-slowed-selling-in-a-bullish-sign-for-the-market</t>
  </si>
  <si>
    <t>Bitcoin Warning: Here’s Why BTC’s Price Could Crash Below $38K (Analyst)</t>
  </si>
  <si>
    <t>2026-06-24 08:10:20 UTC</t>
  </si>
  <si>
    <t>https://cryptopotato.com/bitcoin-warning-heres-why-btcs-price-could-crash-below-38k-analyst/</t>
  </si>
  <si>
    <t>Securitize Tokenizes Roubini-Linked ETF Under Dubai VARA Framework</t>
  </si>
  <si>
    <t>newsbtc</t>
  </si>
  <si>
    <t>2026-06-24 09:17:58 UTC</t>
  </si>
  <si>
    <t>https://www.newsbtc.com/news/securitize-tokenizes-roubini-linked-etf-under-dubai-vara-framework/</t>
  </si>
  <si>
    <t>Ethereum USD Price Remains Stuck Below $1,800 as Bullish Momentum Fades</t>
  </si>
  <si>
    <t>2026-06-24 06:28:50 UTC</t>
  </si>
  <si>
    <t>https://coinpedia.org/crypto-live-news/ethereum-usd-price-remains-stuck-below-1800-as-bullish-momentum-fades/</t>
  </si>
  <si>
    <t>XRP weekly losses have exceeded 10 percent! What’s happening at this critical threshold?</t>
  </si>
  <si>
    <t>2026-06-24 08:03:12 UTC</t>
  </si>
  <si>
    <t>https://en.coin-turk.com/xrp-weekly-losses-have-exceeded-10-percent-whats-happening-at-this-critical-threshold/?utm_source=rss&amp;utm_medium=rss&amp;utm_campaign=xrp-weekly-losses-have-exceeded-10-percent-whats-happening-at-this-critical-threshold</t>
  </si>
  <si>
    <t>Tokenized Stocks Triple Holder Count Since January as Transfer Volume Hits Record $2.2B</t>
  </si>
  <si>
    <t>cryptopolitan</t>
  </si>
  <si>
    <t>2026-06-24 09:16:16 UTC</t>
  </si>
  <si>
    <t>https://www.cryptopolitan.com/tokenized-stocks-holders-transfer-volume/</t>
  </si>
  <si>
    <t>Cboe launches S&amp;P 500 prediction markets as CFTC sues Kentucky over Kalshi and Polymarket</t>
  </si>
  <si>
    <t>2026-06-24 06:23:01 UTC</t>
  </si>
  <si>
    <t>https://www.cryptopolitan.com/cboe-launches-sp-500-prediction-markets-as-cftc-sues-kentucky-over-kalshi-and-polymarket/</t>
  </si>
  <si>
    <t>Crypto Market Remains Under Pressure as Wave 5 Decline Threatens</t>
  </si>
  <si>
    <t>investing_comcryptoopinionandanalysis</t>
  </si>
  <si>
    <t>2026-06-24 07:56:56 UTC</t>
  </si>
  <si>
    <t>https://www.investing.com/analysis/crypto-market-remains-under-pressure-as-wave-5-decline-threatens-200682597</t>
  </si>
  <si>
    <t>Bitmine reports 5.67 million ETH holdings, total assets of $10.7B</t>
  </si>
  <si>
    <t>2026-06-24 09:14:39 UTC</t>
  </si>
  <si>
    <t>https://www.investing.com/news/cryptocurrency-news/bitmine-reports-567-million-eth-holdings-total-assets-of-107b-432SI-4752670</t>
  </si>
  <si>
    <t>CLARITY Act Hits 80-Group Revolt as SBI Wins JPYSC Approval, Polymarket Tops $3B</t>
  </si>
  <si>
    <t>2026-06-24 05:00:03 UTC</t>
  </si>
  <si>
    <t>https://en.coinotag.com/clarity-act-section-604-revolt-sbi-jpysc-approval-polymarket-3b</t>
  </si>
  <si>
    <t>Will Solana price break below $69 as bearish bets pile up?</t>
  </si>
  <si>
    <t>2026-06-24 07:56:53 UTC</t>
  </si>
  <si>
    <t>https://invezz.com/news/2026/06/24/will-solana-price-break-below-69-as-bearish-bets-pile-up/</t>
  </si>
  <si>
    <t>CryptoQuant warned Strategy to pause Bitcoin purchases as cash reserves cover only 14 months of STRC dividends</t>
  </si>
  <si>
    <t>2026-06-24 09:12:05 UTC</t>
  </si>
  <si>
    <t>https://en.coin-turk.com/cryptoquant-warned-strategy-to-pause-bitcoin-purchases-as-cash-reserves-cover-only-14-months-of-strc-dividends/?utm_source=rss&amp;utm_medium=rss&amp;utm_campaign=cryptoquant-warned-strategy-to-pause-bitcoin-purchases-as-cash-reserves-cover-only-14-months-of-strc-dividends</t>
  </si>
  <si>
    <t>Bitcoin Approaches $60K Support as Institutional ETF Inflows Stall: Analysis</t>
  </si>
  <si>
    <t>2026-06-24 04:55:11 UTC</t>
  </si>
  <si>
    <t>https://bitcoinworld.co.in/bitcoin-approaches-60k-support-etf-inflows-stall/</t>
  </si>
  <si>
    <t>Binance ETH Futures Open Interest Sinks to Three-Month Low as Prices Slump</t>
  </si>
  <si>
    <t>2026-06-24 07:45:11 UTC</t>
  </si>
  <si>
    <t>https://bitcoinworld.co.in/binance-eth-futures-open-interest-three-month-low/</t>
  </si>
  <si>
    <t>BVI emerges as a global hub for tokenised finance, accounting for $1.2bn in stablecoins</t>
  </si>
  <si>
    <t>2026-06-24 09:11:27 UTC</t>
  </si>
  <si>
    <t>https://www.investing.com/news/cryptocurrency-news/bvi-emerges-as-a-global-hub-for-tokenised-finance-accounting-for-12bn-in-stablecoins-4754808</t>
  </si>
  <si>
    <t>Ethereum Foundation Cuts 54 Jobs, Ethlabs Launches as ETH Slips Near $1,670</t>
  </si>
  <si>
    <t>2026-06-24 04:54:05 UTC</t>
  </si>
  <si>
    <t>https://en.coinotag.com/ethereum-foundation-cuts-54-jobs-ethlabs-launches-eth-near-1670</t>
  </si>
  <si>
    <t>South Korea Tax Tribunal Orders Reinvestigation of Bitcoin Gift Tax Dispute</t>
  </si>
  <si>
    <t>2026-06-24 07:40:11 UTC</t>
  </si>
  <si>
    <t>https://bitcoinworld.co.in/south-korea-bitcoin-gift-tax-reinvestigation/</t>
  </si>
  <si>
    <t>Voyager Investors Appeal Dismissal of Lawsuit Against Mark Cuban and Dallas Mavericks</t>
  </si>
  <si>
    <t>2026-06-24 09:10:10 UTC</t>
  </si>
  <si>
    <t>https://bitcoinworld.co.in/voyager-investors-appeal-mark-cuban-lawsuit/</t>
  </si>
  <si>
    <t>Neutral because the headline combines negative Bitcoin performance with strong positive altcoin performance.</t>
  </si>
  <si>
    <t>Positive because the analysis suggests an upside target and continued strength in Bitcoin’s long-term trend.</t>
  </si>
  <si>
    <t>Trading resumption is positive, but the headline also highlights a major exploit and lengthy disruption. The signals are mixed.</t>
  </si>
  <si>
    <t>It indicates major institutional adoption and a significant technology partnership for Chainlink.</t>
  </si>
  <si>
    <t>The Singapore dollar is weakening and facing pressure against the US dollar.</t>
  </si>
  <si>
    <t>The headline concerns legal claims and a financial settlement related to Hut 8’s merger, indicating an adverse corporate event.</t>
  </si>
  <si>
    <t>The launch represents product expansion and a new market offering by CBOE.</t>
  </si>
  <si>
    <t>Neutral because it reports a factual regulatory decision without describing a direct favourable or adverse market impact.</t>
  </si>
  <si>
    <t>The headline combines falling Bitcoin prices, staff cuts, and the risk of higher interest rates, all of which indicate adverse market conditions.</t>
  </si>
  <si>
    <t>Negative because ETH remains below $1,800 and buying momentum is fading, indicating continued market weakness.</t>
  </si>
  <si>
    <t>It reports strong adoption growth, a tripling of holders, and record transfer volume.</t>
  </si>
  <si>
    <t>The headline reports strong growth, adoption, and market significance in tokenised finance and stablecoins.</t>
  </si>
  <si>
    <t>The dominant signals are job cuts and a decline in ETH price. The Ethlabs launch is positive, but it does not outweigh the negative developments.</t>
  </si>
  <si>
    <t>Negative because the headline reports continued litigation and legal uncertainty involving Voyager and its investors.</t>
  </si>
  <si>
    <t>Market Abstract</t>
  </si>
  <si>
    <t>MARKET</t>
  </si>
  <si>
    <t>7, 13, 20, 48, 57</t>
  </si>
  <si>
    <t>Low</t>
  </si>
  <si>
    <t>Deep Dive</t>
  </si>
  <si>
    <t>2, 7, 12, 55</t>
  </si>
  <si>
    <t>Bitcoin Holds Near $63K as $589M Liquidations Hit, Tokenized RWA Tops $28B | Bitcoin ticks up on positive U.S.-Iran talks, but gains capped by rate hike bets | BTC price four-year trend calls for $76K as analysis says Bitcoin 'not broken' | Bitcoin Approaches $60K Support as Institutional ETF Inflows Stall: Analysis</t>
  </si>
  <si>
    <t>13, 20, 48, 52, 57</t>
  </si>
  <si>
    <t>5, 14, 23, 50, 58</t>
  </si>
  <si>
    <t>XRP fell below key support to $1.05-$1.10, retesting 2026 lows amid declining network activity | Bitcoin Faces Potential Drop to $46,000 If Key Support at $60,587 Fails, Analyst Warns | Bitcoin bulls face $64,000 test as ETF outflows weaken sentiment | Crypto Market Remains Under Pressure as Wave 5 Decline Threatens | Ethereum Foundation Cuts 54 Jobs, Ethlabs Launches as ETH Slips Near $1,670</t>
  </si>
  <si>
    <t>High</t>
  </si>
  <si>
    <t>14, 23, 36, 44</t>
  </si>
  <si>
    <t>36, 46, 56, 58</t>
  </si>
  <si>
    <t>Crypto News, June 24: Crypto Chaos as BTC USD Tumbles with Chip Stocks, ETH Foundation Axes Staff, Rate Hike Looms | Ethereum USD Price Remains Stuck Below $1,800 as Bullish Momentum Fades | Binance ETH Futures Open Interest Sinks to Three-Month Low as Prices Slump | Ethereum Foundation Cuts 54 Jobs, Ethlabs Launches as ETH Slips Near $1,670</t>
  </si>
  <si>
    <t>ETH is high-risk (92/100) due to macro tightening, overwhelmingly negative sentiment, and liquidity stress. Latest headlines show price stuck below $1,800, Ethereum Foundation staff cuts, and Binance ETH futures open interest at a three-month low. The key market driver is macro policy and sentiment shifts that dampen demand and liquidity, increasing the likelihood of sharp price moves.</t>
  </si>
  <si>
    <t>6, 15, 32, 33, 45</t>
  </si>
  <si>
    <t>11, 24, 39, 54</t>
  </si>
  <si>
    <t>16, 33, 45, 51</t>
  </si>
  <si>
    <t>Virell Trade Launches Stabliq Wallet for Stablecoin Management on Ethereum and TRON | OKX to List Nesa (NES) for Spot Trading Today | Securitize Tokenizes Roubini-Linked ETF Under Dubai VARA Framework | Bitmine reports 5.67 million ETH holdings, total assets of $10.7B</t>
  </si>
  <si>
    <t>Mixed</t>
  </si>
  <si>
    <t>2, 5, 33, 48, 58</t>
  </si>
  <si>
    <t>Bitcoin Holds Near $63K as $589M Liquidations Hit, Tokenized RWA Tops $28B | XRP fell below key support to $1.05-$1.10, retesting 2026 lows amid declining network activity | OKX to List Nesa (NES) for Spot Trading Today | Tokenized Stocks Triple Holder Count Since January as Transfer Volume Hits Record $2.2B | Ethereum Foundation Cuts 54 Jobs, Ethlabs Launches as ETH Slips Near $1,670</t>
  </si>
  <si>
    <t>Medium</t>
  </si>
  <si>
    <t>7, 11, 14, 55</t>
  </si>
  <si>
    <t>5, 6, 10, 15, 47</t>
  </si>
  <si>
    <t>Bitcoin ticks up on positive U.S.-Iran talks, but gains capped by rate hike bets | New Listings Surge! HTX Weekly Recap (June 15–21): Newly Listed RE and O Prices Double Upon Debut While DeFi Emerges as the Dominant Market Narrative | Chainlink selected as key technology provider for $10 trillion cross border payment project with 47 banks | Tokenized Stocks Triple Holder Count Since January as Transfer Volume Hits Record $2.2B | BVI emerges as a global hub for tokenised finance, accounting for $1.2bn in stablecoins</t>
  </si>
  <si>
    <t>Market sentiment remains strongly positive, with the Positive reading dominating at about 0.90 and signaling constructive conditions for crypto and related assets. Bitcoin edged higher on positive U.S.-Iran talks but gains are tempered by rate-hike expectations, while tokenized finance advances appear broadening, including Chainlink’s role in a $10 trillion cross-border project and a surge in tokenized stocks. The week also features a surge in new listings and BVI’s emergence as a hub for tokenised finance, underscoring broader adoption signals.</t>
  </si>
  <si>
    <t>Bitcoin’s near-term moves are driven by macro policy expectations and evolving institutional demand. Growing institutional activity (ETF inflows) and the expansion of tokenized real-world assets provide price support around key levels, including near $60k. Yet rate-hike bets and occasional liquidations keep upside gains capped in a cautious, mixed-sentiment environment.</t>
  </si>
  <si>
    <t>New Listings Surge! HTX Weekly Recap (June 15–21): Newly Listed RE and O Prices Double Upon Debut While DeFi Emerges as the Dominant Market Narrative | Chainlink selected as key technology provider for $10 trillion cross border payment project with 47 banks | Tokenized Stocks Triple Holder Count Since January as Transfer Volume Hits Record $2.2B | CLARITY Act Hits 80-Group Revolt as SBI Wins JPYSC Approval, Polymarket Tops $3B | BVI emerges as a global hub for tokenised finance, accounting for $1.2bn in stablecoins</t>
  </si>
  <si>
    <t>Market sentiment is strongly positive (dominant around 0.898), signaling ongoing optimism. Recent headlines point to a DeFi-forward expansion and a wave of tokenization, including surging new listings, tokenized stocks growth, and major infrastructure wins like Chainlink’s cross-border payment project. No financial advice.</t>
  </si>
  <si>
    <t>Market sentiment remains dominated by negativity, indicating ongoing downside pressure across assets. In crypto, XRP fell below key support around $1.05–$1.10 and Bitcoin faces a potential drop toward $46,000 if the $60,587 level fails, with ETF outflows and Wave 5 decline threats weighing on sentiment. Ethereum trades near $1,670 as the Ethereum Foundation cuts 54 jobs and Ethlabs launches.</t>
  </si>
  <si>
    <t>Bitcoin Faces Potential Drop to $46,000 If Key Support at $60,587 Fails, Analyst Warns | Bitcoin bulls face $64,000 test as ETF outflows weaken sentiment | Crypto News, June 24: Crypto Chaos as BTC USD Tumbles with Chip Stocks, ETH Foundation Axes Staff, Rate Hike Looms | Bitcoin Warning: Here’s Why BTC’s Price Could Crash Below $38K (Analyst)</t>
  </si>
  <si>
    <t>BTC is a high-risk asset (risk score 90/100) with overwhelmingly negative sentiment, making price moves highly sensitive to macro factors. The main market driver is shifting liquidity and risk appetite—driven by rate-hike expectations and ETF outflows—amplified by key technical levels (support around $60,587 and resistance near $64,000). Recent headlines warn of sharp downside if support fails (potential drop toward $46,000), reflecting fragile sentiment and leverage dynamics.</t>
  </si>
  <si>
    <t>US House committee to discuss CLARITY Act on July 17, spotlight on XRP as regulatory clarity nears | XRP Holds $1.10 as Whales Net 1.53B Tokens While Derivatives Bets Split on CLARITY Act | US House Sends Fed CBDC Ban to Trump’s Desk as Housing Bill Clears Congress | OKX to List Nesa (NES) for Spot Trading Today | Securitize Tokenizes Roubini-Linked ETF Under Dubai VARA Framework</t>
  </si>
  <si>
    <t>Market sentiment remains broadly neutral, with Neutral at 90.6%, Positive 6.3%, and Negative 3.1%. The dominant sentiment is neutral as investors digest regulatory headlines, including the CLARITY Act’s XRP spotlight and ongoing CBDC policy discussions. Notable crypto headlines point to activity like OKX listing NES and Securitize tokenizing a Dubai VARA-regulated ETF.</t>
  </si>
  <si>
    <t>Bitcoin’s Price Rejected at $63K as This Altcoin Explodes by 40%: Market Watch | Tempting levels reached in Strategy’s Bitcoin reserves! What is the concern that has investors on alert? | CryptoQuant Says Strategy Should Pause Bitcoin Buys And Rebuild Cash Reserves | CryptoQuant warned Strategy to pause Bitcoin purchases as cash reserves cover only 14 months of STRC dividends</t>
  </si>
  <si>
    <t>BTC’s near-term dynamics are driven by a key price hurdle around $63,000, where price rejection has focused attention on demand. Headlines also indicate a strategy fund may pause BTC purchases to rebuild cash reserves, potentially reducing buying pressure and liquidity. Overall, sentiment is mostly neutral with a low risk score, but the interaction between resistance and large-holder demand remains the primary driver.</t>
  </si>
  <si>
    <t>Market remains broadly rangebound with a predominantly neutral tone, as Neutral sentiment dominates at 0.907 (Positive 0.0788, Negative 0.0142). Recent headlines highlight ongoing infrastructure and liquidity activity, including Stabliq Wallet for stablecoins on Ethereum/TRON, OKX’s NES listing, Dubai VARA-tokenization via Securitize, and Bitmine’s large ETH holdings. No financial advice is provided.</t>
  </si>
  <si>
    <t>Market sentiment remains negative, the dominant reading at Negative 0.4473 signaling a cautious stance. Bitcoin holds near $63K as $589M in liquidations hit, ETH sits around $1,670 and XRP tests key support around $1.05–$1.10 amid subdued network activity; tokenized markets show traction with tokenized RWA topping $28B and NES set for spot listing. No financial advice.</t>
  </si>
  <si>
    <t>Bitcoin ticks up on positive U.S.-Iran talks, but gains capped by rate hike bets | Bitcoin’s Price Rejected at $63K as This Altcoin Explodes by 40%: Market Watch | Bitcoin Faces Potential Drop to $46,000 If Key Support at $60,587 Fails, Analyst Warns | Bitcoin Approaches $60K Support as Institutional ETF Inflows Stall: Analysis</t>
  </si>
  <si>
    <t>Bitcoin’s near-term price action is largely driven by macro-financial dynamics, especially expectations around U.S. rate hikes and related policy signals that can cap gains. Institutional demand via ETF inflows (or their absence) and key technical levels around $60k–$63k act as major accelerants or barriers, echoed by headlines about price rejections and potential drops if support fails.</t>
  </si>
  <si>
    <t>XRP fell below key support to $1.05-$1.10, retesting 2026 lows amid declining network activity | US House committee to discuss CLARITY Act on July 17, spotlight on XRP as regulatory clarity nears | XRP Futures Signal Bullish Sentiment as Price Slips to $1.1 | XRP Holds $1.10 as Whales Net 1.53B Tokens While Derivatives Bets Split on CLARITY Act | XRP weekly losses have exceeded 10 percent! What’s happening at this critical threshold?</t>
  </si>
  <si>
    <t>Regulatory clarity expectations around the CLARITY Act are the primary market driver for XRP now, shaping sentiment and trader positioning ahead of a House committee discussion. This is paired with waning network activity and a test of support near $1.05–$1.10, with whale activity and derivatives bets around $1.10 contributing to near-term volatility.</t>
  </si>
  <si>
    <t>OpenAI Output Validation Summary</t>
  </si>
  <si>
    <t>Criterion</t>
  </si>
  <si>
    <t>Average Score</t>
  </si>
  <si>
    <t>Maximum Score</t>
  </si>
  <si>
    <t>Relevance</t>
  </si>
  <si>
    <t>Sentiment consistency</t>
  </si>
  <si>
    <t>Factual grounding</t>
  </si>
  <si>
    <t>Clarity</t>
  </si>
  <si>
    <t>Conciseness</t>
  </si>
  <si>
    <t>Market explanation quality</t>
  </si>
  <si>
    <t>Safety</t>
  </si>
  <si>
    <t>Overall Average</t>
  </si>
  <si>
    <t>Compliance Measure</t>
  </si>
  <si>
    <t>Result</t>
  </si>
  <si>
    <t>Outputs containing 2–3 sentences</t>
  </si>
  <si>
    <t>12 of 12 (100%)</t>
  </si>
  <si>
    <t>Outputs avoiding direct financial advice</t>
  </si>
  <si>
    <t>Fallback/error messages returned</t>
  </si>
  <si>
    <t>0 of 12 (0%)</t>
  </si>
  <si>
    <t>Key Observation</t>
  </si>
  <si>
    <t>Finding</t>
  </si>
  <si>
    <t>Strongest criteria</t>
  </si>
  <si>
    <t>Relevance, Conciseness, and Safety</t>
  </si>
  <si>
    <t>Lowest criterion</t>
  </si>
  <si>
    <t>Main weakness</t>
  </si>
  <si>
    <t>A small number of outputs introduced mild unsupported inferences or slightly misrepresented a supplied headline.</t>
  </si>
  <si>
    <t>Interpretation</t>
  </si>
  <si>
    <t>The outputs were generally relevant, clear, concise, safe, and consistent within the 12 tested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</si>
</sst>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8">
    <font>
      <sz val="11"/>
      <name val="Carlito"/>
    </font>
    <font>
      <b/>
      <sz val="15"/>
      <color rgb="FFFFFFFF"/>
      <name val="Carlito"/>
    </font>
    <font>
      <b/>
      <sz val="11"/>
      <name val="Carlito"/>
    </font>
    <font>
      <b/>
      <sz val="11"/>
      <color rgb="FFFFFFFF"/>
      <name val="Carlito"/>
    </font>
    <font>
      <sz val="11"/>
      <color rgb="FF000000"/>
      <name val="Aptos Narrow"/>
      <family val="2"/>
    </font>
    <font>
      <b/>
      <sz val="15"/>
      <color rgb="FFFFFFFF"/>
      <name val="Aptos Narrow"/>
      <family val="2"/>
    </font>
    <font>
      <b/>
      <sz val="11"/>
      <color rgb="FFFFFFFF"/>
      <name val="Aptos Narrow"/>
      <family val="2"/>
    </font>
    <font>
      <b/>
      <sz val="11"/>
      <color rgb="FF006100"/>
      <name val="Aptos Narrow"/>
      <family val="2"/>
    </font>
  </fonts>
  <fills count="9">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1F4E78"/>
        <bgColor rgb="FF000000"/>
      </patternFill>
    </fill>
    <fill>
      <patternFill patternType="solid">
        <fgColor rgb="FF5B9BD5"/>
        <bgColor rgb="FF000000"/>
      </patternFill>
    </fill>
    <fill>
      <patternFill patternType="solid">
        <fgColor rgb="FFE2F0D9"/>
        <bgColor rgb="FF000000"/>
      </patternFill>
    </fill>
  </fills>
  <borders count="1">
    <border>
      <left/>
      <right/>
      <top/>
      <bottom/>
      <diagonal/>
    </border>
  </borders>
  <cellStyleXfs count="1">
    <xf numFmtId="0" fontId="0" fillId="0" borderId="0"/>
  </cellStyleXfs>
  <cellXfs count="21">
    <xf numFmtId="0" fontId="0" fillId="0" borderId="0" xfId="0"/>
    <xf numFmtId="0" fontId="2" fillId="3" borderId="0" xfId="0" applyFont="1" applyFill="1" applyAlignment="1">
      <alignment vertical="center" wrapText="1"/>
    </xf>
    <xf numFmtId="0" fontId="0" fillId="0" borderId="0" xfId="0" applyAlignment="1">
      <alignment wrapText="1"/>
    </xf>
    <xf numFmtId="0" fontId="3" fillId="4" borderId="0" xfId="0" applyFont="1" applyFill="1" applyAlignment="1">
      <alignment horizontal="center" vertical="center" wrapText="1"/>
    </xf>
    <xf numFmtId="0" fontId="3" fillId="4" borderId="0" xfId="0" applyFont="1" applyFill="1" applyAlignment="1">
      <alignment horizontal="center" vertical="top" wrapText="1"/>
    </xf>
    <xf numFmtId="0" fontId="0" fillId="0" borderId="0" xfId="0" applyAlignment="1">
      <alignment vertical="top" wrapText="1"/>
    </xf>
    <xf numFmtId="164" fontId="0" fillId="0" borderId="0" xfId="0" applyNumberFormat="1" applyAlignment="1">
      <alignment vertical="top" wrapText="1"/>
    </xf>
    <xf numFmtId="0" fontId="2" fillId="5" borderId="0" xfId="0" applyFont="1" applyFill="1" applyAlignment="1">
      <alignment wrapText="1"/>
    </xf>
    <xf numFmtId="165" fontId="0" fillId="0" borderId="0" xfId="0" applyNumberFormat="1" applyAlignment="1">
      <alignment wrapText="1"/>
    </xf>
    <xf numFmtId="165" fontId="2" fillId="5" borderId="0" xfId="0" applyNumberFormat="1" applyFont="1" applyFill="1" applyAlignment="1">
      <alignment wrapText="1"/>
    </xf>
    <xf numFmtId="165" fontId="2" fillId="3" borderId="0" xfId="0" applyNumberFormat="1" applyFont="1" applyFill="1" applyAlignment="1">
      <alignment vertical="center" wrapText="1"/>
    </xf>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4" fillId="0" borderId="0" xfId="0" applyFont="1" applyAlignment="1">
      <alignment vertical="top" wrapText="1"/>
    </xf>
    <xf numFmtId="164" fontId="4" fillId="0" borderId="0" xfId="0" applyNumberFormat="1" applyFont="1" applyAlignment="1">
      <alignment vertical="top" wrapText="1"/>
    </xf>
    <xf numFmtId="0" fontId="4" fillId="0" borderId="0" xfId="0" applyFont="1" applyAlignment="1">
      <alignment wrapText="1"/>
    </xf>
    <xf numFmtId="0" fontId="6" fillId="7" borderId="0" xfId="0" applyFont="1" applyFill="1" applyAlignment="1">
      <alignment horizontal="center" vertical="center" wrapText="1"/>
    </xf>
    <xf numFmtId="2" fontId="4" fillId="0" borderId="0" xfId="0" applyNumberFormat="1" applyFont="1" applyAlignment="1">
      <alignment wrapText="1"/>
    </xf>
    <xf numFmtId="0" fontId="7" fillId="8" borderId="0" xfId="0" applyFont="1" applyFill="1" applyAlignment="1">
      <alignment wrapText="1"/>
    </xf>
    <xf numFmtId="2" fontId="7" fillId="8" borderId="0" xfId="0" applyNumberFormat="1" applyFont="1" applyFill="1" applyAlignment="1">
      <alignment wrapText="1"/>
    </xf>
    <xf numFmtId="0" fontId="5" fillId="6"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workbookViewId="0">
      <selection sqref="A1:F1"/>
    </sheetView>
  </sheetViews>
  <sheetFormatPr defaultRowHeight="13.8"/>
  <cols>
    <col min="1" max="1" width="24" customWidth="1"/>
    <col min="2" max="2" width="88" customWidth="1"/>
  </cols>
  <sheetData>
    <row r="1" spans="1:6" ht="22.35" customHeight="1">
      <c r="A1" s="11" t="s">
        <v>0</v>
      </c>
      <c r="B1" s="11"/>
      <c r="C1" s="11"/>
      <c r="D1" s="11"/>
      <c r="E1" s="11"/>
      <c r="F1" s="11"/>
    </row>
    <row r="3" spans="1:6" ht="33.6" customHeight="1">
      <c r="A3" s="1" t="s">
        <v>1</v>
      </c>
      <c r="B3" s="2" t="s">
        <v>2</v>
      </c>
    </row>
    <row r="4" spans="1:6" ht="33.6" customHeight="1">
      <c r="A4" s="1" t="s">
        <v>3</v>
      </c>
      <c r="B4" s="2" t="s">
        <v>4</v>
      </c>
    </row>
    <row r="5" spans="1:6" ht="33.6" customHeight="1">
      <c r="A5" s="1" t="s">
        <v>5</v>
      </c>
      <c r="B5" s="2" t="s">
        <v>6</v>
      </c>
    </row>
    <row r="6" spans="1:6" ht="33.6" customHeight="1">
      <c r="A6" s="1" t="s">
        <v>7</v>
      </c>
      <c r="B6" s="2" t="s">
        <v>8</v>
      </c>
    </row>
    <row r="7" spans="1:6" ht="33.6" customHeight="1">
      <c r="A7" s="1" t="s">
        <v>9</v>
      </c>
      <c r="B7" s="2" t="s">
        <v>10</v>
      </c>
    </row>
    <row r="8" spans="1:6" ht="33.6" customHeight="1">
      <c r="A8" s="1" t="s">
        <v>11</v>
      </c>
      <c r="B8" s="2" t="s">
        <v>12</v>
      </c>
    </row>
    <row r="9" spans="1:6" ht="33.6" customHeight="1">
      <c r="A9" s="1" t="s">
        <v>13</v>
      </c>
      <c r="B9" s="2" t="s">
        <v>14</v>
      </c>
    </row>
    <row r="10" spans="1:6" ht="33.6" customHeight="1">
      <c r="A10" s="1" t="s">
        <v>15</v>
      </c>
      <c r="B10" s="2" t="s">
        <v>16</v>
      </c>
    </row>
    <row r="11" spans="1:6" ht="33.6" customHeight="1">
      <c r="A11" s="1" t="s">
        <v>17</v>
      </c>
      <c r="B11" s="2" t="s">
        <v>18</v>
      </c>
    </row>
    <row r="12" spans="1:6" ht="33.6" customHeight="1">
      <c r="A12" s="1" t="s">
        <v>19</v>
      </c>
      <c r="B12" s="2" t="s">
        <v>20</v>
      </c>
    </row>
    <row r="13" spans="1:6" ht="33.6" customHeight="1">
      <c r="A13" s="1" t="s">
        <v>21</v>
      </c>
      <c r="B13" s="2" t="s">
        <v>22</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3"/>
  <sheetViews>
    <sheetView topLeftCell="F17" workbookViewId="0">
      <selection activeCell="L21" sqref="L21"/>
    </sheetView>
  </sheetViews>
  <sheetFormatPr defaultRowHeight="13.8"/>
  <cols>
    <col min="1" max="1" width="7" customWidth="1"/>
    <col min="2" max="2" width="56" customWidth="1"/>
    <col min="3" max="4" width="20" customWidth="1"/>
    <col min="5" max="5" width="15" customWidth="1"/>
    <col min="6" max="6" width="45" customWidth="1"/>
    <col min="7" max="8" width="16" customWidth="1"/>
    <col min="9" max="9" width="36" customWidth="1"/>
    <col min="10" max="13" width="18" customWidth="1"/>
    <col min="14" max="14" width="10" customWidth="1"/>
  </cols>
  <sheetData>
    <row r="1" spans="1:14" ht="19.2">
      <c r="A1" s="11" t="s">
        <v>23</v>
      </c>
      <c r="B1" s="11"/>
      <c r="C1" s="11"/>
      <c r="D1" s="11"/>
      <c r="E1" s="11"/>
      <c r="F1" s="11"/>
      <c r="G1" s="11"/>
      <c r="H1" s="11"/>
      <c r="I1" s="11"/>
      <c r="J1" s="11"/>
      <c r="K1" s="11"/>
      <c r="L1" s="11"/>
      <c r="M1" s="11"/>
      <c r="N1" s="11"/>
    </row>
    <row r="3" spans="1:14" ht="27.6">
      <c r="A3" s="4" t="s">
        <v>24</v>
      </c>
      <c r="B3" s="4" t="s">
        <v>25</v>
      </c>
      <c r="C3" s="4" t="s">
        <v>26</v>
      </c>
      <c r="D3" s="4" t="s">
        <v>27</v>
      </c>
      <c r="E3" s="4" t="s">
        <v>28</v>
      </c>
      <c r="F3" s="4" t="s">
        <v>29</v>
      </c>
      <c r="G3" s="4" t="s">
        <v>30</v>
      </c>
      <c r="H3" s="4" t="s">
        <v>31</v>
      </c>
      <c r="I3" s="4" t="s">
        <v>32</v>
      </c>
      <c r="J3" s="4" t="s">
        <v>33</v>
      </c>
      <c r="K3" s="4" t="s">
        <v>34</v>
      </c>
      <c r="L3" s="4" t="s">
        <v>35</v>
      </c>
      <c r="M3" s="4" t="s">
        <v>36</v>
      </c>
      <c r="N3" s="4" t="s">
        <v>37</v>
      </c>
    </row>
    <row r="4" spans="1:14">
      <c r="A4">
        <v>1</v>
      </c>
      <c r="B4" t="s">
        <v>115</v>
      </c>
      <c r="C4" t="s">
        <v>116</v>
      </c>
      <c r="D4" t="s">
        <v>117</v>
      </c>
      <c r="E4" t="s">
        <v>118</v>
      </c>
      <c r="F4" t="s">
        <v>119</v>
      </c>
      <c r="G4" t="s">
        <v>120</v>
      </c>
      <c r="H4" t="s">
        <v>120</v>
      </c>
      <c r="J4" t="s">
        <v>126</v>
      </c>
      <c r="K4">
        <v>0.22259999999999999</v>
      </c>
      <c r="L4">
        <v>0.74539999999999995</v>
      </c>
      <c r="M4">
        <v>3.2000000000000001E-2</v>
      </c>
      <c r="N4">
        <v>0</v>
      </c>
    </row>
    <row r="5" spans="1:14">
      <c r="A5">
        <v>2</v>
      </c>
      <c r="B5" t="s">
        <v>121</v>
      </c>
      <c r="C5" t="s">
        <v>122</v>
      </c>
      <c r="D5" t="s">
        <v>123</v>
      </c>
      <c r="E5" t="s">
        <v>124</v>
      </c>
      <c r="F5" t="s">
        <v>125</v>
      </c>
      <c r="G5" t="s">
        <v>126</v>
      </c>
      <c r="H5" t="s">
        <v>120</v>
      </c>
      <c r="J5" t="s">
        <v>120</v>
      </c>
      <c r="K5">
        <v>0.66010000000000002</v>
      </c>
      <c r="L5">
        <v>0.2225</v>
      </c>
      <c r="M5">
        <v>0.1174</v>
      </c>
      <c r="N5">
        <v>1</v>
      </c>
    </row>
    <row r="6" spans="1:14">
      <c r="A6">
        <v>3</v>
      </c>
      <c r="B6" t="s">
        <v>127</v>
      </c>
      <c r="C6" t="s">
        <v>128</v>
      </c>
      <c r="D6" t="s">
        <v>129</v>
      </c>
      <c r="E6" t="s">
        <v>118</v>
      </c>
      <c r="F6" t="s">
        <v>130</v>
      </c>
      <c r="G6" t="s">
        <v>131</v>
      </c>
      <c r="H6" t="s">
        <v>126</v>
      </c>
      <c r="J6" t="s">
        <v>126</v>
      </c>
      <c r="K6">
        <v>2.1399999999999999E-2</v>
      </c>
      <c r="L6">
        <v>0.72070000000000001</v>
      </c>
      <c r="M6">
        <v>0.25790000000000002</v>
      </c>
      <c r="N6">
        <v>1</v>
      </c>
    </row>
    <row r="7" spans="1:14">
      <c r="A7">
        <v>4</v>
      </c>
      <c r="B7" t="s">
        <v>132</v>
      </c>
      <c r="C7" t="s">
        <v>116</v>
      </c>
      <c r="D7" t="s">
        <v>133</v>
      </c>
      <c r="E7" t="s">
        <v>118</v>
      </c>
      <c r="F7" t="s">
        <v>134</v>
      </c>
      <c r="G7" t="s">
        <v>120</v>
      </c>
      <c r="H7" t="s">
        <v>126</v>
      </c>
      <c r="J7" t="s">
        <v>126</v>
      </c>
      <c r="K7">
        <v>0.2477</v>
      </c>
      <c r="L7">
        <v>0.67320000000000002</v>
      </c>
      <c r="M7">
        <v>7.9100000000000004E-2</v>
      </c>
      <c r="N7">
        <v>1</v>
      </c>
    </row>
    <row r="8" spans="1:14">
      <c r="A8">
        <v>5</v>
      </c>
      <c r="B8" t="s">
        <v>135</v>
      </c>
      <c r="C8" t="s">
        <v>136</v>
      </c>
      <c r="D8" t="s">
        <v>137</v>
      </c>
      <c r="E8" t="s">
        <v>138</v>
      </c>
      <c r="F8" t="s">
        <v>139</v>
      </c>
      <c r="G8" t="s">
        <v>126</v>
      </c>
      <c r="H8" t="s">
        <v>126</v>
      </c>
      <c r="J8" t="s">
        <v>126</v>
      </c>
      <c r="K8">
        <v>1.4800000000000001E-2</v>
      </c>
      <c r="L8">
        <v>0.97509999999999997</v>
      </c>
      <c r="M8">
        <v>1.01E-2</v>
      </c>
      <c r="N8">
        <v>1</v>
      </c>
    </row>
    <row r="9" spans="1:14">
      <c r="A9">
        <v>6</v>
      </c>
      <c r="B9" t="s">
        <v>140</v>
      </c>
      <c r="C9" t="s">
        <v>136</v>
      </c>
      <c r="D9" t="s">
        <v>141</v>
      </c>
      <c r="E9" t="s">
        <v>138</v>
      </c>
      <c r="F9" t="s">
        <v>142</v>
      </c>
      <c r="G9" t="s">
        <v>131</v>
      </c>
      <c r="H9" t="s">
        <v>131</v>
      </c>
      <c r="J9" t="s">
        <v>131</v>
      </c>
      <c r="K9">
        <v>6.6100000000000006E-2</v>
      </c>
      <c r="L9">
        <v>2.2599999999999999E-2</v>
      </c>
      <c r="M9">
        <v>0.9113</v>
      </c>
      <c r="N9">
        <v>1</v>
      </c>
    </row>
    <row r="10" spans="1:14">
      <c r="A10">
        <v>7</v>
      </c>
      <c r="B10" t="s">
        <v>143</v>
      </c>
      <c r="C10" t="s">
        <v>144</v>
      </c>
      <c r="D10" t="s">
        <v>145</v>
      </c>
      <c r="E10" t="s">
        <v>124</v>
      </c>
      <c r="F10" t="s">
        <v>146</v>
      </c>
      <c r="G10" t="s">
        <v>120</v>
      </c>
      <c r="H10" t="s">
        <v>120</v>
      </c>
      <c r="J10" t="s">
        <v>120</v>
      </c>
      <c r="K10">
        <v>0.88560000000000005</v>
      </c>
      <c r="L10">
        <v>6.9699999999999998E-2</v>
      </c>
      <c r="M10">
        <v>4.4699999999999997E-2</v>
      </c>
      <c r="N10">
        <v>1</v>
      </c>
    </row>
    <row r="11" spans="1:14">
      <c r="A11">
        <v>8</v>
      </c>
      <c r="B11" t="s">
        <v>147</v>
      </c>
      <c r="C11" t="s">
        <v>148</v>
      </c>
      <c r="D11" t="s">
        <v>149</v>
      </c>
      <c r="E11" t="s">
        <v>118</v>
      </c>
      <c r="F11" t="s">
        <v>150</v>
      </c>
      <c r="G11" t="s">
        <v>126</v>
      </c>
      <c r="H11" t="s">
        <v>126</v>
      </c>
      <c r="J11" t="s">
        <v>120</v>
      </c>
      <c r="K11">
        <v>0.57279999999999998</v>
      </c>
      <c r="L11">
        <v>0.28449999999999998</v>
      </c>
      <c r="M11">
        <v>0.14269999999999999</v>
      </c>
      <c r="N11">
        <v>0</v>
      </c>
    </row>
    <row r="12" spans="1:14">
      <c r="A12">
        <v>9</v>
      </c>
      <c r="B12" t="s">
        <v>151</v>
      </c>
      <c r="C12" t="s">
        <v>148</v>
      </c>
      <c r="D12" t="s">
        <v>152</v>
      </c>
      <c r="E12" t="s">
        <v>153</v>
      </c>
      <c r="F12" t="s">
        <v>154</v>
      </c>
      <c r="G12" t="s">
        <v>131</v>
      </c>
      <c r="H12" t="s">
        <v>131</v>
      </c>
      <c r="J12" t="s">
        <v>131</v>
      </c>
      <c r="K12">
        <v>0.12659999999999999</v>
      </c>
      <c r="L12">
        <v>1.2200000000000001E-2</v>
      </c>
      <c r="M12">
        <v>0.86119999999999997</v>
      </c>
      <c r="N12">
        <v>1</v>
      </c>
    </row>
    <row r="13" spans="1:14">
      <c r="A13">
        <v>10</v>
      </c>
      <c r="B13" t="s">
        <v>155</v>
      </c>
      <c r="C13" t="s">
        <v>116</v>
      </c>
      <c r="D13" t="s">
        <v>156</v>
      </c>
      <c r="E13" t="s">
        <v>138</v>
      </c>
      <c r="F13" t="s">
        <v>157</v>
      </c>
      <c r="G13" t="s">
        <v>120</v>
      </c>
      <c r="H13" t="s">
        <v>126</v>
      </c>
      <c r="J13" t="s">
        <v>126</v>
      </c>
      <c r="K13">
        <v>5.67E-2</v>
      </c>
      <c r="L13">
        <v>0.92659999999999998</v>
      </c>
      <c r="M13">
        <v>1.67E-2</v>
      </c>
      <c r="N13">
        <v>1</v>
      </c>
    </row>
    <row r="14" spans="1:14">
      <c r="A14">
        <v>11</v>
      </c>
      <c r="B14" t="s">
        <v>158</v>
      </c>
      <c r="C14" t="s">
        <v>159</v>
      </c>
      <c r="D14" t="s">
        <v>160</v>
      </c>
      <c r="E14" t="s">
        <v>124</v>
      </c>
      <c r="F14" t="s">
        <v>161</v>
      </c>
      <c r="G14" t="s">
        <v>126</v>
      </c>
      <c r="H14" t="s">
        <v>131</v>
      </c>
      <c r="I14" t="s">
        <v>323</v>
      </c>
      <c r="J14" t="s">
        <v>131</v>
      </c>
      <c r="K14">
        <v>0.2</v>
      </c>
      <c r="L14">
        <v>0.12470000000000001</v>
      </c>
      <c r="M14">
        <v>0.67530000000000001</v>
      </c>
      <c r="N14">
        <v>1</v>
      </c>
    </row>
    <row r="15" spans="1:14">
      <c r="A15">
        <v>12</v>
      </c>
      <c r="B15" t="s">
        <v>162</v>
      </c>
      <c r="C15" t="s">
        <v>163</v>
      </c>
      <c r="D15" t="s">
        <v>164</v>
      </c>
      <c r="E15" t="s">
        <v>124</v>
      </c>
      <c r="F15" t="s">
        <v>165</v>
      </c>
      <c r="G15" t="s">
        <v>131</v>
      </c>
      <c r="H15" t="s">
        <v>120</v>
      </c>
      <c r="I15" t="s">
        <v>324</v>
      </c>
      <c r="J15" t="s">
        <v>120</v>
      </c>
      <c r="K15">
        <v>0.6704</v>
      </c>
      <c r="L15">
        <v>0.17810000000000001</v>
      </c>
      <c r="M15">
        <v>0.1515</v>
      </c>
      <c r="N15">
        <v>1</v>
      </c>
    </row>
    <row r="16" spans="1:14">
      <c r="A16">
        <v>13</v>
      </c>
      <c r="B16" t="s">
        <v>166</v>
      </c>
      <c r="C16" t="s">
        <v>167</v>
      </c>
      <c r="D16" t="s">
        <v>168</v>
      </c>
      <c r="E16" t="s">
        <v>118</v>
      </c>
      <c r="F16" t="s">
        <v>169</v>
      </c>
      <c r="G16" t="s">
        <v>120</v>
      </c>
      <c r="H16" t="s">
        <v>120</v>
      </c>
      <c r="J16" t="s">
        <v>120</v>
      </c>
      <c r="K16">
        <v>0.94320000000000004</v>
      </c>
      <c r="L16">
        <v>2.6100000000000002E-2</v>
      </c>
      <c r="M16">
        <v>3.0700000000000002E-2</v>
      </c>
      <c r="N16">
        <v>1</v>
      </c>
    </row>
    <row r="17" spans="1:14">
      <c r="A17">
        <v>14</v>
      </c>
      <c r="B17" t="s">
        <v>170</v>
      </c>
      <c r="C17" t="s">
        <v>116</v>
      </c>
      <c r="D17" t="s">
        <v>171</v>
      </c>
      <c r="E17" t="s">
        <v>124</v>
      </c>
      <c r="F17" t="s">
        <v>172</v>
      </c>
      <c r="G17" t="s">
        <v>126</v>
      </c>
      <c r="H17" t="s">
        <v>126</v>
      </c>
      <c r="J17" t="s">
        <v>126</v>
      </c>
      <c r="K17">
        <v>1.2200000000000001E-2</v>
      </c>
      <c r="L17">
        <v>0.97019999999999995</v>
      </c>
      <c r="M17">
        <v>1.7600000000000001E-2</v>
      </c>
      <c r="N17">
        <v>1</v>
      </c>
    </row>
    <row r="18" spans="1:14">
      <c r="A18">
        <v>15</v>
      </c>
      <c r="B18" t="s">
        <v>173</v>
      </c>
      <c r="C18" t="s">
        <v>122</v>
      </c>
      <c r="D18" t="s">
        <v>174</v>
      </c>
      <c r="E18" t="s">
        <v>138</v>
      </c>
      <c r="F18" t="s">
        <v>175</v>
      </c>
      <c r="G18" t="s">
        <v>131</v>
      </c>
      <c r="H18" t="s">
        <v>131</v>
      </c>
      <c r="J18" t="s">
        <v>131</v>
      </c>
      <c r="K18">
        <v>7.6200000000000004E-2</v>
      </c>
      <c r="L18">
        <v>3.2599999999999997E-2</v>
      </c>
      <c r="M18">
        <v>0.89119999999999999</v>
      </c>
      <c r="N18">
        <v>1</v>
      </c>
    </row>
    <row r="19" spans="1:14">
      <c r="A19">
        <v>16</v>
      </c>
      <c r="B19" t="s">
        <v>176</v>
      </c>
      <c r="C19" t="s">
        <v>144</v>
      </c>
      <c r="D19" t="s">
        <v>177</v>
      </c>
      <c r="E19" t="s">
        <v>178</v>
      </c>
      <c r="F19" t="s">
        <v>179</v>
      </c>
      <c r="G19" t="s">
        <v>120</v>
      </c>
      <c r="H19" t="s">
        <v>131</v>
      </c>
      <c r="J19" t="s">
        <v>131</v>
      </c>
      <c r="K19">
        <v>0.2109</v>
      </c>
      <c r="L19">
        <v>7.7999999999999996E-3</v>
      </c>
      <c r="M19">
        <v>0.78139999999999998</v>
      </c>
      <c r="N19">
        <v>1</v>
      </c>
    </row>
    <row r="20" spans="1:14">
      <c r="A20">
        <v>17</v>
      </c>
      <c r="B20" t="s">
        <v>180</v>
      </c>
      <c r="C20" t="s">
        <v>181</v>
      </c>
      <c r="D20" t="s">
        <v>182</v>
      </c>
      <c r="E20" t="s">
        <v>118</v>
      </c>
      <c r="F20" t="s">
        <v>183</v>
      </c>
      <c r="G20" t="s">
        <v>126</v>
      </c>
      <c r="H20" t="s">
        <v>131</v>
      </c>
      <c r="I20" t="s">
        <v>325</v>
      </c>
      <c r="J20" t="s">
        <v>131</v>
      </c>
      <c r="K20">
        <v>0.11020000000000001</v>
      </c>
      <c r="L20">
        <v>8.48E-2</v>
      </c>
      <c r="M20">
        <v>0.80489999999999995</v>
      </c>
      <c r="N20">
        <v>1</v>
      </c>
    </row>
    <row r="21" spans="1:14">
      <c r="A21">
        <v>18</v>
      </c>
      <c r="B21" t="s">
        <v>184</v>
      </c>
      <c r="C21" t="s">
        <v>128</v>
      </c>
      <c r="D21" t="s">
        <v>185</v>
      </c>
      <c r="E21" t="s">
        <v>118</v>
      </c>
      <c r="F21" t="s">
        <v>186</v>
      </c>
      <c r="G21" t="s">
        <v>131</v>
      </c>
      <c r="H21" t="s">
        <v>131</v>
      </c>
      <c r="J21" t="s">
        <v>131</v>
      </c>
      <c r="K21">
        <v>3.49E-2</v>
      </c>
      <c r="L21">
        <v>7.0599999999999996E-2</v>
      </c>
      <c r="M21">
        <v>0.89449999999999996</v>
      </c>
      <c r="N21">
        <v>1</v>
      </c>
    </row>
    <row r="22" spans="1:14">
      <c r="A22">
        <v>19</v>
      </c>
      <c r="B22" t="s">
        <v>187</v>
      </c>
      <c r="C22" t="s">
        <v>116</v>
      </c>
      <c r="D22" t="s">
        <v>188</v>
      </c>
      <c r="E22" t="s">
        <v>118</v>
      </c>
      <c r="F22" t="s">
        <v>189</v>
      </c>
      <c r="G22" t="s">
        <v>120</v>
      </c>
      <c r="H22" t="s">
        <v>120</v>
      </c>
      <c r="J22" t="s">
        <v>131</v>
      </c>
      <c r="K22">
        <v>0.13830000000000001</v>
      </c>
      <c r="L22">
        <v>0.2414</v>
      </c>
      <c r="M22">
        <v>0.62039999999999995</v>
      </c>
      <c r="N22">
        <v>0</v>
      </c>
    </row>
    <row r="23" spans="1:14">
      <c r="A23">
        <v>20</v>
      </c>
      <c r="B23" t="s">
        <v>190</v>
      </c>
      <c r="C23" t="s">
        <v>136</v>
      </c>
      <c r="D23" t="s">
        <v>191</v>
      </c>
      <c r="E23" t="s">
        <v>153</v>
      </c>
      <c r="F23" t="s">
        <v>192</v>
      </c>
      <c r="G23" t="s">
        <v>126</v>
      </c>
      <c r="H23" t="s">
        <v>120</v>
      </c>
      <c r="I23" t="s">
        <v>326</v>
      </c>
      <c r="J23" t="s">
        <v>120</v>
      </c>
      <c r="K23">
        <v>0.85599999999999998</v>
      </c>
      <c r="L23">
        <v>7.1999999999999998E-3</v>
      </c>
      <c r="M23">
        <v>0.13669999999999999</v>
      </c>
      <c r="N23">
        <v>1</v>
      </c>
    </row>
    <row r="24" spans="1:14">
      <c r="A24">
        <v>21</v>
      </c>
      <c r="B24" t="s">
        <v>193</v>
      </c>
      <c r="C24" t="s">
        <v>116</v>
      </c>
      <c r="D24" t="s">
        <v>194</v>
      </c>
      <c r="E24" t="s">
        <v>118</v>
      </c>
      <c r="F24" t="s">
        <v>195</v>
      </c>
      <c r="G24" t="s">
        <v>131</v>
      </c>
      <c r="H24" t="s">
        <v>126</v>
      </c>
      <c r="J24" t="s">
        <v>126</v>
      </c>
      <c r="K24">
        <v>1.9400000000000001E-2</v>
      </c>
      <c r="L24">
        <v>0.93130000000000002</v>
      </c>
      <c r="M24">
        <v>4.9299999999999997E-2</v>
      </c>
      <c r="N24">
        <v>1</v>
      </c>
    </row>
    <row r="25" spans="1:14">
      <c r="A25">
        <v>22</v>
      </c>
      <c r="B25" t="s">
        <v>196</v>
      </c>
      <c r="C25" t="s">
        <v>116</v>
      </c>
      <c r="D25" t="s">
        <v>197</v>
      </c>
      <c r="E25" t="s">
        <v>118</v>
      </c>
      <c r="F25" t="s">
        <v>198</v>
      </c>
      <c r="G25" t="s">
        <v>120</v>
      </c>
      <c r="H25" t="s">
        <v>131</v>
      </c>
      <c r="J25" t="s">
        <v>131</v>
      </c>
      <c r="K25">
        <v>0.20039999999999999</v>
      </c>
      <c r="L25">
        <v>0.1474</v>
      </c>
      <c r="M25">
        <v>0.6522</v>
      </c>
      <c r="N25">
        <v>1</v>
      </c>
    </row>
    <row r="26" spans="1:14">
      <c r="A26">
        <v>23</v>
      </c>
      <c r="B26" t="s">
        <v>199</v>
      </c>
      <c r="C26" t="s">
        <v>148</v>
      </c>
      <c r="D26" t="s">
        <v>200</v>
      </c>
      <c r="E26" t="s">
        <v>124</v>
      </c>
      <c r="F26" t="s">
        <v>201</v>
      </c>
      <c r="G26" t="s">
        <v>126</v>
      </c>
      <c r="H26" t="s">
        <v>126</v>
      </c>
      <c r="J26" t="s">
        <v>126</v>
      </c>
      <c r="K26">
        <v>1.37E-2</v>
      </c>
      <c r="L26">
        <v>0.96819999999999995</v>
      </c>
      <c r="M26">
        <v>1.8100000000000002E-2</v>
      </c>
      <c r="N26">
        <v>1</v>
      </c>
    </row>
    <row r="27" spans="1:14">
      <c r="A27">
        <v>24</v>
      </c>
      <c r="B27" t="s">
        <v>202</v>
      </c>
      <c r="C27" t="s">
        <v>136</v>
      </c>
      <c r="D27" t="s">
        <v>203</v>
      </c>
      <c r="E27" t="s">
        <v>124</v>
      </c>
      <c r="F27" t="s">
        <v>204</v>
      </c>
      <c r="G27" t="s">
        <v>131</v>
      </c>
      <c r="H27" t="s">
        <v>131</v>
      </c>
      <c r="J27" t="s">
        <v>131</v>
      </c>
      <c r="K27">
        <v>6.9199999999999998E-2</v>
      </c>
      <c r="L27">
        <v>0.1946</v>
      </c>
      <c r="M27">
        <v>0.73629999999999995</v>
      </c>
      <c r="N27">
        <v>1</v>
      </c>
    </row>
    <row r="28" spans="1:14">
      <c r="A28">
        <v>25</v>
      </c>
      <c r="B28" t="s">
        <v>205</v>
      </c>
      <c r="C28" t="s">
        <v>116</v>
      </c>
      <c r="D28" t="s">
        <v>206</v>
      </c>
      <c r="E28" t="s">
        <v>118</v>
      </c>
      <c r="F28" t="s">
        <v>207</v>
      </c>
      <c r="G28" t="s">
        <v>120</v>
      </c>
      <c r="H28" t="s">
        <v>120</v>
      </c>
      <c r="J28" t="s">
        <v>120</v>
      </c>
      <c r="K28">
        <v>0.9355</v>
      </c>
      <c r="L28">
        <v>3.8899999999999997E-2</v>
      </c>
      <c r="M28">
        <v>2.5600000000000001E-2</v>
      </c>
      <c r="N28">
        <v>1</v>
      </c>
    </row>
    <row r="29" spans="1:14">
      <c r="A29">
        <v>26</v>
      </c>
      <c r="B29" t="s">
        <v>208</v>
      </c>
      <c r="C29" t="s">
        <v>116</v>
      </c>
      <c r="D29" t="s">
        <v>209</v>
      </c>
      <c r="E29" t="s">
        <v>118</v>
      </c>
      <c r="F29" t="s">
        <v>210</v>
      </c>
      <c r="G29" t="s">
        <v>126</v>
      </c>
      <c r="H29" t="s">
        <v>126</v>
      </c>
      <c r="I29" t="s">
        <v>327</v>
      </c>
      <c r="J29" t="s">
        <v>120</v>
      </c>
      <c r="K29">
        <v>0.6573</v>
      </c>
      <c r="L29">
        <v>0.29060000000000002</v>
      </c>
      <c r="M29">
        <v>5.21E-2</v>
      </c>
      <c r="N29">
        <v>0</v>
      </c>
    </row>
    <row r="30" spans="1:14">
      <c r="A30">
        <v>27</v>
      </c>
      <c r="B30" t="s">
        <v>211</v>
      </c>
      <c r="C30" t="s">
        <v>212</v>
      </c>
      <c r="D30" t="s">
        <v>213</v>
      </c>
      <c r="E30" t="s">
        <v>124</v>
      </c>
      <c r="F30" t="s">
        <v>214</v>
      </c>
      <c r="G30" t="s">
        <v>131</v>
      </c>
      <c r="H30" t="s">
        <v>126</v>
      </c>
      <c r="I30" t="s">
        <v>328</v>
      </c>
      <c r="J30" t="s">
        <v>120</v>
      </c>
      <c r="K30">
        <v>0.56240000000000001</v>
      </c>
      <c r="L30">
        <v>0.37059999999999998</v>
      </c>
      <c r="M30">
        <v>6.7000000000000004E-2</v>
      </c>
      <c r="N30">
        <v>0</v>
      </c>
    </row>
    <row r="31" spans="1:14">
      <c r="A31">
        <v>28</v>
      </c>
      <c r="B31" t="s">
        <v>215</v>
      </c>
      <c r="C31" t="s">
        <v>159</v>
      </c>
      <c r="D31" t="s">
        <v>216</v>
      </c>
      <c r="E31" t="s">
        <v>118</v>
      </c>
      <c r="F31" t="s">
        <v>217</v>
      </c>
      <c r="G31" t="s">
        <v>120</v>
      </c>
      <c r="H31" t="s">
        <v>120</v>
      </c>
      <c r="I31" t="s">
        <v>329</v>
      </c>
      <c r="J31" t="s">
        <v>131</v>
      </c>
      <c r="K31">
        <v>6.7799999999999999E-2</v>
      </c>
      <c r="L31">
        <v>1.3299999999999999E-2</v>
      </c>
      <c r="M31">
        <v>0.91890000000000005</v>
      </c>
      <c r="N31">
        <v>0</v>
      </c>
    </row>
    <row r="32" spans="1:14">
      <c r="A32">
        <v>29</v>
      </c>
      <c r="B32" t="s">
        <v>218</v>
      </c>
      <c r="C32" t="s">
        <v>136</v>
      </c>
      <c r="D32" t="s">
        <v>219</v>
      </c>
      <c r="E32" t="s">
        <v>220</v>
      </c>
      <c r="F32" t="s">
        <v>221</v>
      </c>
      <c r="G32" t="s">
        <v>126</v>
      </c>
      <c r="H32" t="s">
        <v>126</v>
      </c>
      <c r="J32" t="s">
        <v>126</v>
      </c>
      <c r="K32">
        <v>1.0500000000000001E-2</v>
      </c>
      <c r="L32">
        <v>0.97499999999999998</v>
      </c>
      <c r="M32">
        <v>1.4500000000000001E-2</v>
      </c>
      <c r="N32">
        <v>1</v>
      </c>
    </row>
    <row r="33" spans="1:14">
      <c r="A33">
        <v>30</v>
      </c>
      <c r="B33" t="s">
        <v>222</v>
      </c>
      <c r="C33" t="s">
        <v>116</v>
      </c>
      <c r="D33" t="s">
        <v>223</v>
      </c>
      <c r="E33" t="s">
        <v>118</v>
      </c>
      <c r="F33" t="s">
        <v>224</v>
      </c>
      <c r="G33" t="s">
        <v>131</v>
      </c>
      <c r="H33" t="s">
        <v>126</v>
      </c>
      <c r="J33" t="s">
        <v>126</v>
      </c>
      <c r="K33">
        <v>3.0300000000000001E-2</v>
      </c>
      <c r="L33">
        <v>0.50439999999999996</v>
      </c>
      <c r="M33">
        <v>0.46529999999999999</v>
      </c>
      <c r="N33">
        <v>1</v>
      </c>
    </row>
    <row r="34" spans="1:14">
      <c r="A34">
        <v>31</v>
      </c>
      <c r="B34" t="s">
        <v>225</v>
      </c>
      <c r="C34" t="s">
        <v>116</v>
      </c>
      <c r="D34" t="s">
        <v>226</v>
      </c>
      <c r="E34" t="s">
        <v>118</v>
      </c>
      <c r="F34" t="s">
        <v>227</v>
      </c>
      <c r="G34" t="s">
        <v>120</v>
      </c>
      <c r="H34" t="s">
        <v>120</v>
      </c>
      <c r="J34" t="s">
        <v>120</v>
      </c>
      <c r="K34">
        <v>0.92589999999999995</v>
      </c>
      <c r="L34">
        <v>3.8300000000000001E-2</v>
      </c>
      <c r="M34">
        <v>3.5799999999999998E-2</v>
      </c>
      <c r="N34">
        <v>1</v>
      </c>
    </row>
    <row r="35" spans="1:14">
      <c r="A35">
        <v>32</v>
      </c>
      <c r="B35" t="s">
        <v>228</v>
      </c>
      <c r="C35" t="s">
        <v>212</v>
      </c>
      <c r="D35" t="s">
        <v>229</v>
      </c>
      <c r="E35" t="s">
        <v>118</v>
      </c>
      <c r="F35" t="s">
        <v>230</v>
      </c>
      <c r="G35" t="s">
        <v>126</v>
      </c>
      <c r="H35" t="s">
        <v>131</v>
      </c>
      <c r="I35" t="s">
        <v>330</v>
      </c>
      <c r="J35" t="s">
        <v>131</v>
      </c>
      <c r="K35">
        <v>0.1071</v>
      </c>
      <c r="L35">
        <v>6.8699999999999997E-2</v>
      </c>
      <c r="M35">
        <v>0.82420000000000004</v>
      </c>
      <c r="N35">
        <v>1</v>
      </c>
    </row>
    <row r="36" spans="1:14">
      <c r="A36">
        <v>33</v>
      </c>
      <c r="B36" t="s">
        <v>231</v>
      </c>
      <c r="C36" t="s">
        <v>116</v>
      </c>
      <c r="D36" t="s">
        <v>232</v>
      </c>
      <c r="E36" t="s">
        <v>118</v>
      </c>
      <c r="F36" t="s">
        <v>233</v>
      </c>
      <c r="G36" t="s">
        <v>131</v>
      </c>
      <c r="H36" t="s">
        <v>131</v>
      </c>
      <c r="J36" t="s">
        <v>131</v>
      </c>
      <c r="K36">
        <v>2.5700000000000001E-2</v>
      </c>
      <c r="L36">
        <v>2.07E-2</v>
      </c>
      <c r="M36">
        <v>0.9536</v>
      </c>
      <c r="N36">
        <v>1</v>
      </c>
    </row>
    <row r="37" spans="1:14">
      <c r="A37">
        <v>34</v>
      </c>
      <c r="B37" t="s">
        <v>234</v>
      </c>
      <c r="C37" t="s">
        <v>235</v>
      </c>
      <c r="D37" t="s">
        <v>236</v>
      </c>
      <c r="E37" t="s">
        <v>118</v>
      </c>
      <c r="F37" t="s">
        <v>237</v>
      </c>
      <c r="G37" t="s">
        <v>120</v>
      </c>
      <c r="H37" t="s">
        <v>131</v>
      </c>
      <c r="J37" t="s">
        <v>131</v>
      </c>
      <c r="K37">
        <v>0.12820000000000001</v>
      </c>
      <c r="L37">
        <v>1.7600000000000001E-2</v>
      </c>
      <c r="M37">
        <v>0.85429999999999995</v>
      </c>
      <c r="N37">
        <v>1</v>
      </c>
    </row>
    <row r="38" spans="1:14">
      <c r="A38">
        <v>35</v>
      </c>
      <c r="B38" t="s">
        <v>238</v>
      </c>
      <c r="C38" t="s">
        <v>116</v>
      </c>
      <c r="D38" t="s">
        <v>239</v>
      </c>
      <c r="E38" t="s">
        <v>118</v>
      </c>
      <c r="F38" t="s">
        <v>240</v>
      </c>
      <c r="G38" t="s">
        <v>126</v>
      </c>
      <c r="H38" t="s">
        <v>126</v>
      </c>
      <c r="J38" t="s">
        <v>126</v>
      </c>
      <c r="K38">
        <v>4.1700000000000001E-2</v>
      </c>
      <c r="L38">
        <v>0.92030000000000001</v>
      </c>
      <c r="M38">
        <v>3.7999999999999999E-2</v>
      </c>
      <c r="N38">
        <v>1</v>
      </c>
    </row>
    <row r="39" spans="1:14">
      <c r="A39">
        <v>36</v>
      </c>
      <c r="B39" t="s">
        <v>241</v>
      </c>
      <c r="C39" t="s">
        <v>128</v>
      </c>
      <c r="D39" t="s">
        <v>242</v>
      </c>
      <c r="E39" t="s">
        <v>243</v>
      </c>
      <c r="F39" t="s">
        <v>244</v>
      </c>
      <c r="G39" t="s">
        <v>131</v>
      </c>
      <c r="H39" t="s">
        <v>126</v>
      </c>
      <c r="I39" t="s">
        <v>331</v>
      </c>
      <c r="J39" t="s">
        <v>126</v>
      </c>
      <c r="K39">
        <v>2.6700000000000002E-2</v>
      </c>
      <c r="L39">
        <v>0.93330000000000002</v>
      </c>
      <c r="M39">
        <v>4.0099999999999997E-2</v>
      </c>
      <c r="N39">
        <v>1</v>
      </c>
    </row>
    <row r="40" spans="1:14">
      <c r="A40">
        <v>37</v>
      </c>
      <c r="B40" t="s">
        <v>245</v>
      </c>
      <c r="C40" t="s">
        <v>163</v>
      </c>
      <c r="D40" t="s">
        <v>246</v>
      </c>
      <c r="E40" t="s">
        <v>118</v>
      </c>
      <c r="F40" t="s">
        <v>247</v>
      </c>
      <c r="G40" t="s">
        <v>120</v>
      </c>
      <c r="H40" t="s">
        <v>120</v>
      </c>
      <c r="J40" t="s">
        <v>120</v>
      </c>
      <c r="K40">
        <v>0.82709999999999995</v>
      </c>
      <c r="L40">
        <v>5.7000000000000002E-3</v>
      </c>
      <c r="M40">
        <v>0.16719999999999999</v>
      </c>
      <c r="N40">
        <v>1</v>
      </c>
    </row>
    <row r="41" spans="1:14">
      <c r="A41">
        <v>38</v>
      </c>
      <c r="B41" t="s">
        <v>248</v>
      </c>
      <c r="C41" t="s">
        <v>249</v>
      </c>
      <c r="D41" t="s">
        <v>250</v>
      </c>
      <c r="E41" t="s">
        <v>124</v>
      </c>
      <c r="F41" t="s">
        <v>251</v>
      </c>
      <c r="G41" t="s">
        <v>126</v>
      </c>
      <c r="H41" t="s">
        <v>126</v>
      </c>
      <c r="J41" t="s">
        <v>126</v>
      </c>
      <c r="K41">
        <v>1.6899999999999998E-2</v>
      </c>
      <c r="L41">
        <v>0.92569999999999997</v>
      </c>
      <c r="M41">
        <v>5.74E-2</v>
      </c>
      <c r="N41">
        <v>1</v>
      </c>
    </row>
    <row r="42" spans="1:14">
      <c r="A42">
        <v>39</v>
      </c>
      <c r="B42" t="s">
        <v>252</v>
      </c>
      <c r="C42" t="s">
        <v>253</v>
      </c>
      <c r="D42" t="s">
        <v>254</v>
      </c>
      <c r="E42" t="s">
        <v>124</v>
      </c>
      <c r="F42" t="s">
        <v>255</v>
      </c>
      <c r="G42" t="s">
        <v>131</v>
      </c>
      <c r="H42" t="s">
        <v>131</v>
      </c>
      <c r="J42" t="s">
        <v>131</v>
      </c>
      <c r="K42">
        <v>0.3695</v>
      </c>
      <c r="L42">
        <v>0.15970000000000001</v>
      </c>
      <c r="M42">
        <v>0.4708</v>
      </c>
      <c r="N42">
        <v>1</v>
      </c>
    </row>
    <row r="43" spans="1:14">
      <c r="A43">
        <v>40</v>
      </c>
      <c r="B43" t="s">
        <v>256</v>
      </c>
      <c r="C43" t="s">
        <v>148</v>
      </c>
      <c r="D43" t="s">
        <v>257</v>
      </c>
      <c r="E43" t="s">
        <v>118</v>
      </c>
      <c r="F43" t="s">
        <v>258</v>
      </c>
      <c r="G43" t="s">
        <v>120</v>
      </c>
      <c r="H43" t="s">
        <v>131</v>
      </c>
      <c r="J43" t="s">
        <v>131</v>
      </c>
      <c r="K43">
        <v>8.5800000000000001E-2</v>
      </c>
      <c r="L43">
        <v>0.18260000000000001</v>
      </c>
      <c r="M43">
        <v>0.73160000000000003</v>
      </c>
      <c r="N43">
        <v>1</v>
      </c>
    </row>
    <row r="44" spans="1:14">
      <c r="A44">
        <v>41</v>
      </c>
      <c r="B44" t="s">
        <v>259</v>
      </c>
      <c r="C44" t="s">
        <v>136</v>
      </c>
      <c r="D44" t="s">
        <v>260</v>
      </c>
      <c r="E44" t="s">
        <v>261</v>
      </c>
      <c r="F44" t="s">
        <v>262</v>
      </c>
      <c r="G44" t="s">
        <v>126</v>
      </c>
      <c r="H44" t="s">
        <v>126</v>
      </c>
      <c r="J44" t="s">
        <v>126</v>
      </c>
      <c r="K44">
        <v>3.5999999999999997E-2</v>
      </c>
      <c r="L44">
        <v>0.52029999999999998</v>
      </c>
      <c r="M44">
        <v>0.44369999999999998</v>
      </c>
      <c r="N44">
        <v>1</v>
      </c>
    </row>
    <row r="45" spans="1:14">
      <c r="A45">
        <v>42</v>
      </c>
      <c r="B45" t="s">
        <v>263</v>
      </c>
      <c r="C45" t="s">
        <v>116</v>
      </c>
      <c r="D45" t="s">
        <v>264</v>
      </c>
      <c r="E45" t="s">
        <v>124</v>
      </c>
      <c r="F45" t="s">
        <v>265</v>
      </c>
      <c r="G45" t="s">
        <v>131</v>
      </c>
      <c r="H45" t="s">
        <v>131</v>
      </c>
      <c r="J45" t="s">
        <v>120</v>
      </c>
      <c r="K45">
        <v>0.89019999999999999</v>
      </c>
      <c r="L45">
        <v>4.5900000000000003E-2</v>
      </c>
      <c r="M45">
        <v>6.3899999999999998E-2</v>
      </c>
      <c r="N45">
        <v>0</v>
      </c>
    </row>
    <row r="46" spans="1:14">
      <c r="A46">
        <v>43</v>
      </c>
      <c r="B46" t="s">
        <v>266</v>
      </c>
      <c r="C46" t="s">
        <v>235</v>
      </c>
      <c r="D46" t="s">
        <v>267</v>
      </c>
      <c r="E46" t="s">
        <v>124</v>
      </c>
      <c r="F46" t="s">
        <v>268</v>
      </c>
      <c r="G46" t="s">
        <v>120</v>
      </c>
      <c r="H46" t="s">
        <v>120</v>
      </c>
      <c r="J46" t="s">
        <v>126</v>
      </c>
      <c r="K46">
        <v>2.8299999999999999E-2</v>
      </c>
      <c r="L46">
        <v>0.92500000000000004</v>
      </c>
      <c r="M46">
        <v>4.6699999999999998E-2</v>
      </c>
      <c r="N46">
        <v>0</v>
      </c>
    </row>
    <row r="47" spans="1:14">
      <c r="A47">
        <v>44</v>
      </c>
      <c r="B47" t="s">
        <v>269</v>
      </c>
      <c r="C47" t="s">
        <v>159</v>
      </c>
      <c r="D47" t="s">
        <v>270</v>
      </c>
      <c r="E47" t="s">
        <v>124</v>
      </c>
      <c r="F47" t="s">
        <v>271</v>
      </c>
      <c r="G47" t="s">
        <v>126</v>
      </c>
      <c r="H47" t="s">
        <v>126</v>
      </c>
      <c r="J47" t="s">
        <v>126</v>
      </c>
      <c r="K47">
        <v>2.5600000000000001E-2</v>
      </c>
      <c r="L47">
        <v>0.72860000000000003</v>
      </c>
      <c r="M47">
        <v>0.24579999999999999</v>
      </c>
      <c r="N47">
        <v>1</v>
      </c>
    </row>
    <row r="48" spans="1:14">
      <c r="A48">
        <v>45</v>
      </c>
      <c r="B48" t="s">
        <v>272</v>
      </c>
      <c r="C48" t="s">
        <v>273</v>
      </c>
      <c r="D48" t="s">
        <v>274</v>
      </c>
      <c r="E48" t="s">
        <v>118</v>
      </c>
      <c r="F48" t="s">
        <v>275</v>
      </c>
      <c r="G48" t="s">
        <v>131</v>
      </c>
      <c r="H48" t="s">
        <v>131</v>
      </c>
      <c r="J48" t="s">
        <v>131</v>
      </c>
      <c r="K48">
        <v>4.0599999999999997E-2</v>
      </c>
      <c r="L48">
        <v>1.23E-2</v>
      </c>
      <c r="M48">
        <v>0.94710000000000005</v>
      </c>
      <c r="N48">
        <v>1</v>
      </c>
    </row>
    <row r="49" spans="1:14">
      <c r="A49">
        <v>46</v>
      </c>
      <c r="B49" t="s">
        <v>276</v>
      </c>
      <c r="C49" t="s">
        <v>249</v>
      </c>
      <c r="D49" t="s">
        <v>277</v>
      </c>
      <c r="E49" t="s">
        <v>178</v>
      </c>
      <c r="F49" t="s">
        <v>278</v>
      </c>
      <c r="G49" t="s">
        <v>120</v>
      </c>
      <c r="H49" t="s">
        <v>126</v>
      </c>
      <c r="I49" t="s">
        <v>332</v>
      </c>
      <c r="J49" t="s">
        <v>126</v>
      </c>
      <c r="K49">
        <v>3.5200000000000002E-2</v>
      </c>
      <c r="L49">
        <v>0.85880000000000001</v>
      </c>
      <c r="M49">
        <v>0.10589999999999999</v>
      </c>
      <c r="N49">
        <v>1</v>
      </c>
    </row>
    <row r="50" spans="1:14">
      <c r="A50">
        <v>47</v>
      </c>
      <c r="B50" t="s">
        <v>279</v>
      </c>
      <c r="C50" t="s">
        <v>136</v>
      </c>
      <c r="D50" t="s">
        <v>280</v>
      </c>
      <c r="E50" t="s">
        <v>138</v>
      </c>
      <c r="F50" t="s">
        <v>281</v>
      </c>
      <c r="G50" t="s">
        <v>126</v>
      </c>
      <c r="H50" t="s">
        <v>126</v>
      </c>
      <c r="J50" t="s">
        <v>126</v>
      </c>
      <c r="K50">
        <v>2.1499999999999998E-2</v>
      </c>
      <c r="L50">
        <v>0.75549999999999995</v>
      </c>
      <c r="M50">
        <v>0.22289999999999999</v>
      </c>
      <c r="N50">
        <v>1</v>
      </c>
    </row>
    <row r="51" spans="1:14">
      <c r="A51">
        <v>48</v>
      </c>
      <c r="B51" t="s">
        <v>282</v>
      </c>
      <c r="C51" t="s">
        <v>283</v>
      </c>
      <c r="D51" t="s">
        <v>284</v>
      </c>
      <c r="E51" t="s">
        <v>118</v>
      </c>
      <c r="F51" t="s">
        <v>285</v>
      </c>
      <c r="G51" t="s">
        <v>131</v>
      </c>
      <c r="H51" t="s">
        <v>120</v>
      </c>
      <c r="I51" t="s">
        <v>333</v>
      </c>
      <c r="J51" t="s">
        <v>120</v>
      </c>
      <c r="K51">
        <v>0.89229999999999998</v>
      </c>
      <c r="L51">
        <v>6.5000000000000002E-2</v>
      </c>
      <c r="M51">
        <v>4.2700000000000002E-2</v>
      </c>
      <c r="N51">
        <v>1</v>
      </c>
    </row>
    <row r="52" spans="1:14">
      <c r="A52">
        <v>49</v>
      </c>
      <c r="B52" t="s">
        <v>286</v>
      </c>
      <c r="C52" t="s">
        <v>283</v>
      </c>
      <c r="D52" t="s">
        <v>287</v>
      </c>
      <c r="E52" t="s">
        <v>118</v>
      </c>
      <c r="F52" t="s">
        <v>288</v>
      </c>
      <c r="G52" t="s">
        <v>120</v>
      </c>
      <c r="H52" t="s">
        <v>126</v>
      </c>
      <c r="J52" t="s">
        <v>126</v>
      </c>
      <c r="K52">
        <v>3.49E-2</v>
      </c>
      <c r="L52">
        <v>0.79210000000000003</v>
      </c>
      <c r="M52">
        <v>0.17299999999999999</v>
      </c>
      <c r="N52">
        <v>1</v>
      </c>
    </row>
    <row r="53" spans="1:14">
      <c r="A53">
        <v>50</v>
      </c>
      <c r="B53" t="s">
        <v>289</v>
      </c>
      <c r="C53" t="s">
        <v>290</v>
      </c>
      <c r="D53" t="s">
        <v>291</v>
      </c>
      <c r="E53" t="s">
        <v>118</v>
      </c>
      <c r="F53" t="s">
        <v>292</v>
      </c>
      <c r="G53" t="s">
        <v>126</v>
      </c>
      <c r="H53" t="s">
        <v>126</v>
      </c>
      <c r="J53" t="s">
        <v>126</v>
      </c>
      <c r="K53">
        <v>1.6500000000000001E-2</v>
      </c>
      <c r="L53">
        <v>0.95450000000000002</v>
      </c>
      <c r="M53">
        <v>2.9000000000000001E-2</v>
      </c>
      <c r="N53">
        <v>1</v>
      </c>
    </row>
    <row r="54" spans="1:14">
      <c r="A54">
        <v>51</v>
      </c>
      <c r="B54" t="s">
        <v>293</v>
      </c>
      <c r="C54" t="s">
        <v>144</v>
      </c>
      <c r="D54" t="s">
        <v>294</v>
      </c>
      <c r="E54" t="s">
        <v>178</v>
      </c>
      <c r="F54" t="s">
        <v>295</v>
      </c>
      <c r="G54" t="s">
        <v>131</v>
      </c>
      <c r="H54" t="s">
        <v>131</v>
      </c>
      <c r="J54" t="s">
        <v>131</v>
      </c>
      <c r="K54">
        <v>3.8100000000000002E-2</v>
      </c>
      <c r="L54">
        <v>1.6E-2</v>
      </c>
      <c r="M54">
        <v>0.94579999999999997</v>
      </c>
      <c r="N54">
        <v>1</v>
      </c>
    </row>
    <row r="55" spans="1:14">
      <c r="A55">
        <v>52</v>
      </c>
      <c r="B55" t="s">
        <v>296</v>
      </c>
      <c r="C55" t="s">
        <v>122</v>
      </c>
      <c r="D55" t="s">
        <v>297</v>
      </c>
      <c r="E55" t="s">
        <v>118</v>
      </c>
      <c r="F55" t="s">
        <v>298</v>
      </c>
      <c r="G55" t="s">
        <v>120</v>
      </c>
      <c r="H55" t="s">
        <v>120</v>
      </c>
      <c r="J55" t="s">
        <v>120</v>
      </c>
      <c r="K55">
        <v>0.88139999999999996</v>
      </c>
      <c r="L55">
        <v>2.63E-2</v>
      </c>
      <c r="M55">
        <v>9.2299999999999993E-2</v>
      </c>
      <c r="N55">
        <v>1</v>
      </c>
    </row>
    <row r="56" spans="1:14">
      <c r="A56">
        <v>53</v>
      </c>
      <c r="B56" t="s">
        <v>299</v>
      </c>
      <c r="C56" t="s">
        <v>148</v>
      </c>
      <c r="D56" t="s">
        <v>300</v>
      </c>
      <c r="E56" t="s">
        <v>220</v>
      </c>
      <c r="F56" t="s">
        <v>301</v>
      </c>
      <c r="G56" t="s">
        <v>126</v>
      </c>
      <c r="H56" t="s">
        <v>126</v>
      </c>
      <c r="J56" t="s">
        <v>126</v>
      </c>
      <c r="K56">
        <v>7.9500000000000001E-2</v>
      </c>
      <c r="L56">
        <v>0.59330000000000005</v>
      </c>
      <c r="M56">
        <v>0.32719999999999999</v>
      </c>
      <c r="N56">
        <v>1</v>
      </c>
    </row>
    <row r="57" spans="1:14">
      <c r="A57">
        <v>54</v>
      </c>
      <c r="B57" t="s">
        <v>302</v>
      </c>
      <c r="C57" t="s">
        <v>136</v>
      </c>
      <c r="D57" t="s">
        <v>303</v>
      </c>
      <c r="E57" t="s">
        <v>124</v>
      </c>
      <c r="F57" t="s">
        <v>304</v>
      </c>
      <c r="G57" t="s">
        <v>131</v>
      </c>
      <c r="H57" t="s">
        <v>131</v>
      </c>
      <c r="J57" t="s">
        <v>131</v>
      </c>
      <c r="K57">
        <v>3.9800000000000002E-2</v>
      </c>
      <c r="L57">
        <v>0.17510000000000001</v>
      </c>
      <c r="M57">
        <v>0.78520000000000001</v>
      </c>
      <c r="N57">
        <v>1</v>
      </c>
    </row>
    <row r="58" spans="1:14">
      <c r="A58">
        <v>55</v>
      </c>
      <c r="B58" t="s">
        <v>305</v>
      </c>
      <c r="C58" t="s">
        <v>116</v>
      </c>
      <c r="D58" t="s">
        <v>306</v>
      </c>
      <c r="E58" t="s">
        <v>124</v>
      </c>
      <c r="F58" t="s">
        <v>307</v>
      </c>
      <c r="G58" t="s">
        <v>120</v>
      </c>
      <c r="H58" t="s">
        <v>120</v>
      </c>
      <c r="J58" t="s">
        <v>120</v>
      </c>
      <c r="K58">
        <v>0.90169999999999995</v>
      </c>
      <c r="L58">
        <v>7.4499999999999997E-2</v>
      </c>
      <c r="M58">
        <v>2.3800000000000002E-2</v>
      </c>
      <c r="N58">
        <v>1</v>
      </c>
    </row>
    <row r="59" spans="1:14">
      <c r="A59">
        <v>56</v>
      </c>
      <c r="B59" t="s">
        <v>308</v>
      </c>
      <c r="C59" t="s">
        <v>116</v>
      </c>
      <c r="D59" t="s">
        <v>309</v>
      </c>
      <c r="E59" t="s">
        <v>178</v>
      </c>
      <c r="F59" t="s">
        <v>310</v>
      </c>
      <c r="G59" t="s">
        <v>126</v>
      </c>
      <c r="H59" t="s">
        <v>126</v>
      </c>
      <c r="J59" t="s">
        <v>126</v>
      </c>
      <c r="K59">
        <v>2.12E-2</v>
      </c>
      <c r="L59">
        <v>0.9446</v>
      </c>
      <c r="M59">
        <v>3.4200000000000001E-2</v>
      </c>
      <c r="N59">
        <v>1</v>
      </c>
    </row>
    <row r="60" spans="1:14">
      <c r="A60">
        <v>57</v>
      </c>
      <c r="B60" t="s">
        <v>311</v>
      </c>
      <c r="C60" t="s">
        <v>144</v>
      </c>
      <c r="D60" t="s">
        <v>312</v>
      </c>
      <c r="E60" t="s">
        <v>118</v>
      </c>
      <c r="F60" t="s">
        <v>313</v>
      </c>
      <c r="G60" t="s">
        <v>131</v>
      </c>
      <c r="H60" t="s">
        <v>120</v>
      </c>
      <c r="I60" t="s">
        <v>334</v>
      </c>
      <c r="J60" t="s">
        <v>120</v>
      </c>
      <c r="K60">
        <v>0.91579999999999995</v>
      </c>
      <c r="L60">
        <v>9.1999999999999998E-3</v>
      </c>
      <c r="M60">
        <v>7.4899999999999994E-2</v>
      </c>
      <c r="N60">
        <v>1</v>
      </c>
    </row>
    <row r="61" spans="1:14">
      <c r="A61">
        <v>58</v>
      </c>
      <c r="B61" t="s">
        <v>314</v>
      </c>
      <c r="C61" t="s">
        <v>122</v>
      </c>
      <c r="D61" t="s">
        <v>315</v>
      </c>
      <c r="E61" t="s">
        <v>178</v>
      </c>
      <c r="F61" t="s">
        <v>316</v>
      </c>
      <c r="G61" t="s">
        <v>120</v>
      </c>
      <c r="H61" t="s">
        <v>126</v>
      </c>
      <c r="I61" t="s">
        <v>335</v>
      </c>
      <c r="J61" t="s">
        <v>126</v>
      </c>
      <c r="K61">
        <v>2.2700000000000001E-2</v>
      </c>
      <c r="L61">
        <v>0.95330000000000004</v>
      </c>
      <c r="M61">
        <v>2.41E-2</v>
      </c>
      <c r="N61">
        <v>1</v>
      </c>
    </row>
    <row r="62" spans="1:14">
      <c r="A62">
        <v>59</v>
      </c>
      <c r="B62" t="s">
        <v>317</v>
      </c>
      <c r="C62" t="s">
        <v>116</v>
      </c>
      <c r="D62" t="s">
        <v>318</v>
      </c>
      <c r="E62" t="s">
        <v>124</v>
      </c>
      <c r="F62" t="s">
        <v>319</v>
      </c>
      <c r="G62" t="s">
        <v>126</v>
      </c>
      <c r="H62" t="s">
        <v>126</v>
      </c>
      <c r="J62" t="s">
        <v>126</v>
      </c>
      <c r="K62">
        <v>3.0700000000000002E-2</v>
      </c>
      <c r="L62">
        <v>0.64859999999999995</v>
      </c>
      <c r="M62">
        <v>0.32069999999999999</v>
      </c>
      <c r="N62">
        <v>1</v>
      </c>
    </row>
    <row r="63" spans="1:14">
      <c r="A63">
        <v>60</v>
      </c>
      <c r="B63" t="s">
        <v>320</v>
      </c>
      <c r="C63" t="s">
        <v>116</v>
      </c>
      <c r="D63" t="s">
        <v>321</v>
      </c>
      <c r="E63" t="s">
        <v>118</v>
      </c>
      <c r="F63" t="s">
        <v>322</v>
      </c>
      <c r="G63" t="s">
        <v>131</v>
      </c>
      <c r="H63" t="s">
        <v>126</v>
      </c>
      <c r="I63" t="s">
        <v>336</v>
      </c>
      <c r="J63" t="s">
        <v>126</v>
      </c>
      <c r="K63">
        <v>5.21E-2</v>
      </c>
      <c r="L63">
        <v>0.88949999999999996</v>
      </c>
      <c r="M63">
        <v>5.8500000000000003E-2</v>
      </c>
      <c r="N63">
        <v>1</v>
      </c>
    </row>
    <row r="64" spans="1:14">
      <c r="A64" s="5"/>
      <c r="B64" s="5"/>
      <c r="C64" s="5"/>
      <c r="D64" s="5"/>
      <c r="E64" s="5"/>
      <c r="F64" s="5"/>
      <c r="G64" s="5"/>
      <c r="H64" s="5"/>
      <c r="I64" s="5"/>
      <c r="J64" s="5"/>
      <c r="K64" s="6"/>
      <c r="L64" s="6"/>
      <c r="M64" s="6"/>
      <c r="N64" s="5" t="str">
        <f t="shared" ref="N64:N67" si="0">IF(OR(H64="",J64=""),"",IF(LOWER(H64)=LOWER(J64),1,0))</f>
        <v/>
      </c>
    </row>
    <row r="65" spans="1:14">
      <c r="A65" s="5"/>
      <c r="B65" s="5"/>
      <c r="C65" s="5"/>
      <c r="D65" s="5"/>
      <c r="E65" s="5"/>
      <c r="F65" s="5"/>
      <c r="G65" s="5"/>
      <c r="H65" s="5"/>
      <c r="I65" s="5"/>
      <c r="J65" s="5"/>
      <c r="K65" s="6"/>
      <c r="L65" s="6"/>
      <c r="M65" s="6"/>
      <c r="N65" s="5" t="str">
        <f t="shared" si="0"/>
        <v/>
      </c>
    </row>
    <row r="66" spans="1:14">
      <c r="A66" s="5"/>
      <c r="B66" s="5"/>
      <c r="C66" s="5"/>
      <c r="D66" s="5"/>
      <c r="E66" s="5"/>
      <c r="F66" s="5"/>
      <c r="G66" s="5"/>
      <c r="H66" s="5"/>
      <c r="I66" s="5"/>
      <c r="J66" s="5"/>
      <c r="K66" s="6"/>
      <c r="L66" s="6"/>
      <c r="M66" s="6"/>
      <c r="N66" s="5" t="str">
        <f t="shared" si="0"/>
        <v/>
      </c>
    </row>
    <row r="67" spans="1:14">
      <c r="A67" s="5"/>
      <c r="B67" s="5"/>
      <c r="C67" s="5"/>
      <c r="D67" s="5"/>
      <c r="E67" s="5"/>
      <c r="F67" s="5"/>
      <c r="G67" s="5"/>
      <c r="H67" s="5"/>
      <c r="I67" s="5"/>
      <c r="J67" s="5"/>
      <c r="K67" s="6"/>
      <c r="L67" s="6"/>
      <c r="M67" s="6"/>
      <c r="N67" s="5" t="str">
        <f t="shared" si="0"/>
        <v/>
      </c>
    </row>
    <row r="68" spans="1:14">
      <c r="A68" s="5"/>
      <c r="B68" s="5"/>
      <c r="C68" s="5"/>
      <c r="D68" s="5"/>
      <c r="E68" s="5"/>
      <c r="F68" s="5"/>
      <c r="G68" s="5"/>
      <c r="H68" s="5"/>
      <c r="I68" s="5"/>
      <c r="J68" s="5"/>
      <c r="K68" s="6"/>
      <c r="L68" s="6"/>
      <c r="M68" s="6"/>
      <c r="N68" s="5" t="str">
        <f t="shared" ref="N68:N99" si="1">IF(OR(H68="",J68=""),"",IF(LOWER(H68)=LOWER(J68),1,0))</f>
        <v/>
      </c>
    </row>
    <row r="69" spans="1:14">
      <c r="A69" s="5"/>
      <c r="B69" s="5"/>
      <c r="C69" s="5"/>
      <c r="D69" s="5"/>
      <c r="E69" s="5"/>
      <c r="F69" s="5"/>
      <c r="G69" s="5"/>
      <c r="H69" s="5"/>
      <c r="I69" s="5"/>
      <c r="J69" s="5"/>
      <c r="K69" s="6"/>
      <c r="L69" s="6"/>
      <c r="M69" s="6"/>
      <c r="N69" s="5" t="str">
        <f t="shared" si="1"/>
        <v/>
      </c>
    </row>
    <row r="70" spans="1:14">
      <c r="A70" s="5"/>
      <c r="B70" s="5"/>
      <c r="C70" s="5"/>
      <c r="D70" s="5"/>
      <c r="E70" s="5"/>
      <c r="F70" s="5"/>
      <c r="G70" s="5"/>
      <c r="H70" s="5"/>
      <c r="I70" s="5"/>
      <c r="J70" s="5"/>
      <c r="K70" s="6"/>
      <c r="L70" s="6"/>
      <c r="M70" s="6"/>
      <c r="N70" s="5" t="str">
        <f t="shared" si="1"/>
        <v/>
      </c>
    </row>
    <row r="71" spans="1:14">
      <c r="A71" s="5"/>
      <c r="B71" s="5"/>
      <c r="C71" s="5"/>
      <c r="D71" s="5"/>
      <c r="E71" s="5"/>
      <c r="F71" s="5"/>
      <c r="G71" s="5"/>
      <c r="H71" s="5"/>
      <c r="I71" s="5"/>
      <c r="J71" s="5"/>
      <c r="K71" s="6"/>
      <c r="L71" s="6"/>
      <c r="M71" s="6"/>
      <c r="N71" s="5" t="str">
        <f t="shared" si="1"/>
        <v/>
      </c>
    </row>
    <row r="72" spans="1:14">
      <c r="A72" s="5"/>
      <c r="B72" s="5"/>
      <c r="C72" s="5"/>
      <c r="D72" s="5"/>
      <c r="E72" s="5"/>
      <c r="F72" s="5"/>
      <c r="G72" s="5"/>
      <c r="H72" s="5"/>
      <c r="I72" s="5"/>
      <c r="J72" s="5"/>
      <c r="K72" s="6"/>
      <c r="L72" s="6"/>
      <c r="M72" s="6"/>
      <c r="N72" s="5" t="str">
        <f t="shared" si="1"/>
        <v/>
      </c>
    </row>
    <row r="73" spans="1:14">
      <c r="A73" s="5"/>
      <c r="B73" s="5"/>
      <c r="C73" s="5"/>
      <c r="D73" s="5"/>
      <c r="E73" s="5"/>
      <c r="F73" s="5"/>
      <c r="G73" s="5"/>
      <c r="H73" s="5"/>
      <c r="I73" s="5"/>
      <c r="J73" s="5"/>
      <c r="K73" s="6"/>
      <c r="L73" s="6"/>
      <c r="M73" s="6"/>
      <c r="N73" s="5" t="str">
        <f t="shared" si="1"/>
        <v/>
      </c>
    </row>
    <row r="74" spans="1:14">
      <c r="A74" s="5"/>
      <c r="B74" s="5"/>
      <c r="C74" s="5"/>
      <c r="D74" s="5"/>
      <c r="E74" s="5"/>
      <c r="F74" s="5"/>
      <c r="G74" s="5"/>
      <c r="H74" s="5"/>
      <c r="I74" s="5"/>
      <c r="J74" s="5"/>
      <c r="K74" s="6"/>
      <c r="L74" s="6"/>
      <c r="M74" s="6"/>
      <c r="N74" s="5" t="str">
        <f t="shared" si="1"/>
        <v/>
      </c>
    </row>
    <row r="75" spans="1:14">
      <c r="A75" s="5"/>
      <c r="B75" s="5"/>
      <c r="C75" s="5"/>
      <c r="D75" s="5"/>
      <c r="E75" s="5"/>
      <c r="F75" s="5"/>
      <c r="G75" s="5"/>
      <c r="H75" s="5"/>
      <c r="I75" s="5"/>
      <c r="J75" s="5"/>
      <c r="K75" s="6"/>
      <c r="L75" s="6"/>
      <c r="M75" s="6"/>
      <c r="N75" s="5" t="str">
        <f t="shared" si="1"/>
        <v/>
      </c>
    </row>
    <row r="76" spans="1:14">
      <c r="A76" s="5"/>
      <c r="B76" s="5"/>
      <c r="C76" s="5"/>
      <c r="D76" s="5"/>
      <c r="E76" s="5"/>
      <c r="F76" s="5"/>
      <c r="G76" s="5"/>
      <c r="H76" s="5"/>
      <c r="I76" s="5"/>
      <c r="J76" s="5"/>
      <c r="K76" s="6"/>
      <c r="L76" s="6"/>
      <c r="M76" s="6"/>
      <c r="N76" s="5" t="str">
        <f t="shared" si="1"/>
        <v/>
      </c>
    </row>
    <row r="77" spans="1:14">
      <c r="A77" s="5"/>
      <c r="B77" s="5"/>
      <c r="C77" s="5"/>
      <c r="D77" s="5"/>
      <c r="E77" s="5"/>
      <c r="F77" s="5"/>
      <c r="G77" s="5"/>
      <c r="H77" s="5"/>
      <c r="I77" s="5"/>
      <c r="J77" s="5"/>
      <c r="K77" s="6"/>
      <c r="L77" s="6"/>
      <c r="M77" s="6"/>
      <c r="N77" s="5" t="str">
        <f t="shared" si="1"/>
        <v/>
      </c>
    </row>
    <row r="78" spans="1:14">
      <c r="A78" s="5"/>
      <c r="B78" s="5"/>
      <c r="C78" s="5"/>
      <c r="D78" s="5"/>
      <c r="E78" s="5"/>
      <c r="F78" s="5"/>
      <c r="G78" s="5"/>
      <c r="H78" s="5"/>
      <c r="I78" s="5"/>
      <c r="J78" s="5"/>
      <c r="K78" s="6"/>
      <c r="L78" s="6"/>
      <c r="M78" s="6"/>
      <c r="N78" s="5" t="str">
        <f t="shared" si="1"/>
        <v/>
      </c>
    </row>
    <row r="79" spans="1:14">
      <c r="A79" s="5"/>
      <c r="B79" s="5"/>
      <c r="C79" s="5"/>
      <c r="D79" s="5"/>
      <c r="E79" s="5"/>
      <c r="F79" s="5"/>
      <c r="G79" s="5"/>
      <c r="H79" s="5"/>
      <c r="I79" s="5"/>
      <c r="J79" s="5"/>
      <c r="K79" s="6"/>
      <c r="L79" s="6"/>
      <c r="M79" s="6"/>
      <c r="N79" s="5" t="str">
        <f t="shared" si="1"/>
        <v/>
      </c>
    </row>
    <row r="80" spans="1:14">
      <c r="A80" s="5"/>
      <c r="B80" s="5"/>
      <c r="C80" s="5"/>
      <c r="D80" s="5"/>
      <c r="E80" s="5"/>
      <c r="F80" s="5"/>
      <c r="G80" s="5"/>
      <c r="H80" s="5"/>
      <c r="I80" s="5"/>
      <c r="J80" s="5"/>
      <c r="K80" s="6"/>
      <c r="L80" s="6"/>
      <c r="M80" s="6"/>
      <c r="N80" s="5" t="str">
        <f t="shared" si="1"/>
        <v/>
      </c>
    </row>
    <row r="81" spans="1:14">
      <c r="A81" s="5"/>
      <c r="B81" s="5"/>
      <c r="C81" s="5"/>
      <c r="D81" s="5"/>
      <c r="E81" s="5"/>
      <c r="F81" s="5"/>
      <c r="G81" s="5"/>
      <c r="H81" s="5"/>
      <c r="I81" s="5"/>
      <c r="J81" s="5"/>
      <c r="K81" s="6"/>
      <c r="L81" s="6"/>
      <c r="M81" s="6"/>
      <c r="N81" s="5" t="str">
        <f t="shared" si="1"/>
        <v/>
      </c>
    </row>
    <row r="82" spans="1:14">
      <c r="A82" s="5"/>
      <c r="B82" s="5"/>
      <c r="C82" s="5"/>
      <c r="D82" s="5"/>
      <c r="E82" s="5"/>
      <c r="F82" s="5"/>
      <c r="G82" s="5"/>
      <c r="H82" s="5"/>
      <c r="I82" s="5"/>
      <c r="J82" s="5"/>
      <c r="K82" s="6"/>
      <c r="L82" s="6"/>
      <c r="M82" s="6"/>
      <c r="N82" s="5" t="str">
        <f t="shared" si="1"/>
        <v/>
      </c>
    </row>
    <row r="83" spans="1:14">
      <c r="A83" s="5"/>
      <c r="B83" s="5"/>
      <c r="C83" s="5"/>
      <c r="D83" s="5"/>
      <c r="E83" s="5"/>
      <c r="F83" s="5"/>
      <c r="G83" s="5"/>
      <c r="H83" s="5"/>
      <c r="I83" s="5"/>
      <c r="J83" s="5"/>
      <c r="K83" s="6"/>
      <c r="L83" s="6"/>
      <c r="M83" s="6"/>
      <c r="N83" s="5" t="str">
        <f t="shared" si="1"/>
        <v/>
      </c>
    </row>
    <row r="84" spans="1:14">
      <c r="A84" s="5"/>
      <c r="B84" s="5"/>
      <c r="C84" s="5"/>
      <c r="D84" s="5"/>
      <c r="E84" s="5"/>
      <c r="F84" s="5"/>
      <c r="G84" s="5"/>
      <c r="H84" s="5"/>
      <c r="I84" s="5"/>
      <c r="J84" s="5"/>
      <c r="K84" s="6"/>
      <c r="L84" s="6"/>
      <c r="M84" s="6"/>
      <c r="N84" s="5" t="str">
        <f t="shared" si="1"/>
        <v/>
      </c>
    </row>
    <row r="85" spans="1:14">
      <c r="A85" s="5"/>
      <c r="B85" s="5"/>
      <c r="C85" s="5"/>
      <c r="D85" s="5"/>
      <c r="E85" s="5"/>
      <c r="F85" s="5"/>
      <c r="G85" s="5"/>
      <c r="H85" s="5"/>
      <c r="I85" s="5"/>
      <c r="J85" s="5"/>
      <c r="K85" s="6"/>
      <c r="L85" s="6"/>
      <c r="M85" s="6"/>
      <c r="N85" s="5" t="str">
        <f t="shared" si="1"/>
        <v/>
      </c>
    </row>
    <row r="86" spans="1:14">
      <c r="A86" s="5"/>
      <c r="B86" s="5"/>
      <c r="C86" s="5"/>
      <c r="D86" s="5"/>
      <c r="E86" s="5"/>
      <c r="F86" s="5"/>
      <c r="G86" s="5"/>
      <c r="H86" s="5"/>
      <c r="I86" s="5"/>
      <c r="J86" s="5"/>
      <c r="K86" s="6"/>
      <c r="L86" s="6"/>
      <c r="M86" s="6"/>
      <c r="N86" s="5" t="str">
        <f t="shared" si="1"/>
        <v/>
      </c>
    </row>
    <row r="87" spans="1:14">
      <c r="A87" s="5"/>
      <c r="B87" s="5"/>
      <c r="C87" s="5"/>
      <c r="D87" s="5"/>
      <c r="E87" s="5"/>
      <c r="F87" s="5"/>
      <c r="G87" s="5"/>
      <c r="H87" s="5"/>
      <c r="I87" s="5"/>
      <c r="J87" s="5"/>
      <c r="K87" s="6"/>
      <c r="L87" s="6"/>
      <c r="M87" s="6"/>
      <c r="N87" s="5" t="str">
        <f t="shared" si="1"/>
        <v/>
      </c>
    </row>
    <row r="88" spans="1:14">
      <c r="A88" s="5"/>
      <c r="B88" s="5"/>
      <c r="C88" s="5"/>
      <c r="D88" s="5"/>
      <c r="E88" s="5"/>
      <c r="F88" s="5"/>
      <c r="G88" s="5"/>
      <c r="H88" s="5"/>
      <c r="I88" s="5"/>
      <c r="J88" s="5"/>
      <c r="K88" s="6"/>
      <c r="L88" s="6"/>
      <c r="M88" s="6"/>
      <c r="N88" s="5" t="str">
        <f t="shared" si="1"/>
        <v/>
      </c>
    </row>
    <row r="89" spans="1:14">
      <c r="A89" s="5"/>
      <c r="B89" s="5"/>
      <c r="C89" s="5"/>
      <c r="D89" s="5"/>
      <c r="E89" s="5"/>
      <c r="F89" s="5"/>
      <c r="G89" s="5"/>
      <c r="H89" s="5"/>
      <c r="I89" s="5"/>
      <c r="J89" s="5"/>
      <c r="K89" s="6"/>
      <c r="L89" s="6"/>
      <c r="M89" s="6"/>
      <c r="N89" s="5" t="str">
        <f t="shared" si="1"/>
        <v/>
      </c>
    </row>
    <row r="90" spans="1:14">
      <c r="A90" s="5"/>
      <c r="B90" s="5"/>
      <c r="C90" s="5"/>
      <c r="D90" s="5"/>
      <c r="E90" s="5"/>
      <c r="F90" s="5"/>
      <c r="G90" s="5"/>
      <c r="H90" s="5"/>
      <c r="I90" s="5"/>
      <c r="J90" s="5"/>
      <c r="K90" s="6"/>
      <c r="L90" s="6"/>
      <c r="M90" s="6"/>
      <c r="N90" s="5" t="str">
        <f t="shared" si="1"/>
        <v/>
      </c>
    </row>
    <row r="91" spans="1:14">
      <c r="A91" s="5"/>
      <c r="B91" s="5"/>
      <c r="C91" s="5"/>
      <c r="D91" s="5"/>
      <c r="E91" s="5"/>
      <c r="F91" s="5"/>
      <c r="G91" s="5"/>
      <c r="H91" s="5"/>
      <c r="I91" s="5"/>
      <c r="J91" s="5"/>
      <c r="K91" s="6"/>
      <c r="L91" s="6"/>
      <c r="M91" s="6"/>
      <c r="N91" s="5" t="str">
        <f t="shared" si="1"/>
        <v/>
      </c>
    </row>
    <row r="92" spans="1:14">
      <c r="A92" s="5"/>
      <c r="B92" s="5"/>
      <c r="C92" s="5"/>
      <c r="D92" s="5"/>
      <c r="E92" s="5"/>
      <c r="F92" s="5"/>
      <c r="G92" s="5"/>
      <c r="H92" s="5"/>
      <c r="I92" s="5"/>
      <c r="J92" s="5"/>
      <c r="K92" s="6"/>
      <c r="L92" s="6"/>
      <c r="M92" s="6"/>
      <c r="N92" s="5" t="str">
        <f t="shared" si="1"/>
        <v/>
      </c>
    </row>
    <row r="93" spans="1:14">
      <c r="A93" s="5"/>
      <c r="B93" s="5"/>
      <c r="C93" s="5"/>
      <c r="D93" s="5"/>
      <c r="E93" s="5"/>
      <c r="F93" s="5"/>
      <c r="G93" s="5"/>
      <c r="H93" s="5"/>
      <c r="I93" s="5"/>
      <c r="J93" s="5"/>
      <c r="K93" s="6"/>
      <c r="L93" s="6"/>
      <c r="M93" s="6"/>
      <c r="N93" s="5" t="str">
        <f t="shared" si="1"/>
        <v/>
      </c>
    </row>
    <row r="94" spans="1:14">
      <c r="A94" s="5"/>
      <c r="B94" s="5"/>
      <c r="C94" s="5"/>
      <c r="D94" s="5"/>
      <c r="E94" s="5"/>
      <c r="F94" s="5"/>
      <c r="G94" s="5"/>
      <c r="H94" s="5"/>
      <c r="I94" s="5"/>
      <c r="J94" s="5"/>
      <c r="K94" s="6"/>
      <c r="L94" s="6"/>
      <c r="M94" s="6"/>
      <c r="N94" s="5" t="str">
        <f t="shared" si="1"/>
        <v/>
      </c>
    </row>
    <row r="95" spans="1:14">
      <c r="A95" s="5"/>
      <c r="B95" s="5"/>
      <c r="C95" s="5"/>
      <c r="D95" s="5"/>
      <c r="E95" s="5"/>
      <c r="F95" s="5"/>
      <c r="G95" s="5"/>
      <c r="H95" s="5"/>
      <c r="I95" s="5"/>
      <c r="J95" s="5"/>
      <c r="K95" s="6"/>
      <c r="L95" s="6"/>
      <c r="M95" s="6"/>
      <c r="N95" s="5" t="str">
        <f t="shared" si="1"/>
        <v/>
      </c>
    </row>
    <row r="96" spans="1:14">
      <c r="A96" s="5"/>
      <c r="B96" s="5"/>
      <c r="C96" s="5"/>
      <c r="D96" s="5"/>
      <c r="E96" s="5"/>
      <c r="F96" s="5"/>
      <c r="G96" s="5"/>
      <c r="H96" s="5"/>
      <c r="I96" s="5"/>
      <c r="J96" s="5"/>
      <c r="K96" s="6"/>
      <c r="L96" s="6"/>
      <c r="M96" s="6"/>
      <c r="N96" s="5" t="str">
        <f t="shared" si="1"/>
        <v/>
      </c>
    </row>
    <row r="97" spans="1:14">
      <c r="A97" s="5"/>
      <c r="B97" s="5"/>
      <c r="C97" s="5"/>
      <c r="D97" s="5"/>
      <c r="E97" s="5"/>
      <c r="F97" s="5"/>
      <c r="G97" s="5"/>
      <c r="H97" s="5"/>
      <c r="I97" s="5"/>
      <c r="J97" s="5"/>
      <c r="K97" s="6"/>
      <c r="L97" s="6"/>
      <c r="M97" s="6"/>
      <c r="N97" s="5" t="str">
        <f t="shared" si="1"/>
        <v/>
      </c>
    </row>
    <row r="98" spans="1:14">
      <c r="A98" s="5"/>
      <c r="B98" s="5"/>
      <c r="C98" s="5"/>
      <c r="D98" s="5"/>
      <c r="E98" s="5"/>
      <c r="F98" s="5"/>
      <c r="G98" s="5"/>
      <c r="H98" s="5"/>
      <c r="I98" s="5"/>
      <c r="J98" s="5"/>
      <c r="K98" s="6"/>
      <c r="L98" s="6"/>
      <c r="M98" s="6"/>
      <c r="N98" s="5" t="str">
        <f t="shared" si="1"/>
        <v/>
      </c>
    </row>
    <row r="99" spans="1:14">
      <c r="A99" s="5"/>
      <c r="B99" s="5"/>
      <c r="C99" s="5"/>
      <c r="D99" s="5"/>
      <c r="E99" s="5"/>
      <c r="F99" s="5"/>
      <c r="G99" s="5"/>
      <c r="H99" s="5"/>
      <c r="I99" s="5"/>
      <c r="J99" s="5"/>
      <c r="K99" s="6"/>
      <c r="L99" s="6"/>
      <c r="M99" s="6"/>
      <c r="N99" s="5" t="str">
        <f t="shared" si="1"/>
        <v/>
      </c>
    </row>
    <row r="100" spans="1:14">
      <c r="A100" s="5"/>
      <c r="B100" s="5"/>
      <c r="C100" s="5"/>
      <c r="D100" s="5"/>
      <c r="E100" s="5"/>
      <c r="F100" s="5"/>
      <c r="G100" s="5"/>
      <c r="H100" s="5"/>
      <c r="I100" s="5"/>
      <c r="J100" s="5"/>
      <c r="K100" s="6"/>
      <c r="L100" s="6"/>
      <c r="M100" s="6"/>
      <c r="N100" s="5" t="str">
        <f t="shared" ref="N100:N131" si="2">IF(OR(H100="",J100=""),"",IF(LOWER(H100)=LOWER(J100),1,0))</f>
        <v/>
      </c>
    </row>
    <row r="101" spans="1:14">
      <c r="A101" s="5"/>
      <c r="B101" s="5"/>
      <c r="C101" s="5"/>
      <c r="D101" s="5"/>
      <c r="E101" s="5"/>
      <c r="F101" s="5"/>
      <c r="G101" s="5"/>
      <c r="H101" s="5"/>
      <c r="I101" s="5"/>
      <c r="J101" s="5"/>
      <c r="K101" s="6"/>
      <c r="L101" s="6"/>
      <c r="M101" s="6"/>
      <c r="N101" s="5" t="str">
        <f t="shared" si="2"/>
        <v/>
      </c>
    </row>
    <row r="102" spans="1:14">
      <c r="A102" s="5"/>
      <c r="B102" s="5"/>
      <c r="C102" s="5"/>
      <c r="D102" s="5"/>
      <c r="E102" s="5"/>
      <c r="F102" s="5"/>
      <c r="G102" s="5"/>
      <c r="H102" s="5"/>
      <c r="I102" s="5"/>
      <c r="J102" s="5"/>
      <c r="K102" s="6"/>
      <c r="L102" s="6"/>
      <c r="M102" s="6"/>
      <c r="N102" s="5" t="str">
        <f t="shared" si="2"/>
        <v/>
      </c>
    </row>
    <row r="103" spans="1:14">
      <c r="A103" s="5"/>
      <c r="B103" s="5"/>
      <c r="C103" s="5"/>
      <c r="D103" s="5"/>
      <c r="E103" s="5"/>
      <c r="F103" s="5"/>
      <c r="G103" s="5"/>
      <c r="H103" s="5"/>
      <c r="I103" s="5"/>
      <c r="J103" s="5"/>
      <c r="K103" s="6"/>
      <c r="L103" s="6"/>
      <c r="M103" s="6"/>
      <c r="N103" s="5" t="str">
        <f t="shared" si="2"/>
        <v/>
      </c>
    </row>
    <row r="104" spans="1:14">
      <c r="A104" s="5"/>
      <c r="B104" s="5"/>
      <c r="C104" s="5"/>
      <c r="D104" s="5"/>
      <c r="E104" s="5"/>
      <c r="F104" s="5"/>
      <c r="G104" s="5"/>
      <c r="H104" s="5"/>
      <c r="I104" s="5"/>
      <c r="J104" s="5"/>
      <c r="K104" s="6"/>
      <c r="L104" s="6"/>
      <c r="M104" s="6"/>
      <c r="N104" s="5" t="str">
        <f t="shared" si="2"/>
        <v/>
      </c>
    </row>
    <row r="105" spans="1:14">
      <c r="A105" s="5"/>
      <c r="B105" s="5"/>
      <c r="C105" s="5"/>
      <c r="D105" s="5"/>
      <c r="E105" s="5"/>
      <c r="F105" s="5"/>
      <c r="G105" s="5"/>
      <c r="H105" s="5"/>
      <c r="I105" s="5"/>
      <c r="J105" s="5"/>
      <c r="K105" s="6"/>
      <c r="L105" s="6"/>
      <c r="M105" s="6"/>
      <c r="N105" s="5" t="str">
        <f t="shared" si="2"/>
        <v/>
      </c>
    </row>
    <row r="106" spans="1:14">
      <c r="A106" s="5"/>
      <c r="B106" s="5"/>
      <c r="C106" s="5"/>
      <c r="D106" s="5"/>
      <c r="E106" s="5"/>
      <c r="F106" s="5"/>
      <c r="G106" s="5"/>
      <c r="H106" s="5"/>
      <c r="I106" s="5"/>
      <c r="J106" s="5"/>
      <c r="K106" s="6"/>
      <c r="L106" s="6"/>
      <c r="M106" s="6"/>
      <c r="N106" s="5" t="str">
        <f t="shared" si="2"/>
        <v/>
      </c>
    </row>
    <row r="107" spans="1:14">
      <c r="A107" s="5"/>
      <c r="B107" s="5"/>
      <c r="C107" s="5"/>
      <c r="D107" s="5"/>
      <c r="E107" s="5"/>
      <c r="F107" s="5"/>
      <c r="G107" s="5"/>
      <c r="H107" s="5"/>
      <c r="I107" s="5"/>
      <c r="J107" s="5"/>
      <c r="K107" s="6"/>
      <c r="L107" s="6"/>
      <c r="M107" s="6"/>
      <c r="N107" s="5" t="str">
        <f t="shared" si="2"/>
        <v/>
      </c>
    </row>
    <row r="108" spans="1:14">
      <c r="A108" s="5"/>
      <c r="B108" s="5"/>
      <c r="C108" s="5"/>
      <c r="D108" s="5"/>
      <c r="E108" s="5"/>
      <c r="F108" s="5"/>
      <c r="G108" s="5"/>
      <c r="H108" s="5"/>
      <c r="I108" s="5"/>
      <c r="J108" s="5"/>
      <c r="K108" s="6"/>
      <c r="L108" s="6"/>
      <c r="M108" s="6"/>
      <c r="N108" s="5" t="str">
        <f t="shared" si="2"/>
        <v/>
      </c>
    </row>
    <row r="109" spans="1:14">
      <c r="A109" s="5"/>
      <c r="B109" s="5"/>
      <c r="C109" s="5"/>
      <c r="D109" s="5"/>
      <c r="E109" s="5"/>
      <c r="F109" s="5"/>
      <c r="G109" s="5"/>
      <c r="H109" s="5"/>
      <c r="I109" s="5"/>
      <c r="J109" s="5"/>
      <c r="K109" s="6"/>
      <c r="L109" s="6"/>
      <c r="M109" s="6"/>
      <c r="N109" s="5" t="str">
        <f t="shared" si="2"/>
        <v/>
      </c>
    </row>
    <row r="110" spans="1:14">
      <c r="A110" s="5"/>
      <c r="B110" s="5"/>
      <c r="C110" s="5"/>
      <c r="D110" s="5"/>
      <c r="E110" s="5"/>
      <c r="F110" s="5"/>
      <c r="G110" s="5"/>
      <c r="H110" s="5"/>
      <c r="I110" s="5"/>
      <c r="J110" s="5"/>
      <c r="K110" s="6"/>
      <c r="L110" s="6"/>
      <c r="M110" s="6"/>
      <c r="N110" s="5" t="str">
        <f t="shared" si="2"/>
        <v/>
      </c>
    </row>
    <row r="111" spans="1:14">
      <c r="A111" s="5"/>
      <c r="B111" s="5"/>
      <c r="C111" s="5"/>
      <c r="D111" s="5"/>
      <c r="E111" s="5"/>
      <c r="F111" s="5"/>
      <c r="G111" s="5"/>
      <c r="H111" s="5"/>
      <c r="I111" s="5"/>
      <c r="J111" s="5"/>
      <c r="K111" s="6"/>
      <c r="L111" s="6"/>
      <c r="M111" s="6"/>
      <c r="N111" s="5" t="str">
        <f t="shared" si="2"/>
        <v/>
      </c>
    </row>
    <row r="112" spans="1:14">
      <c r="A112" s="5"/>
      <c r="B112" s="5"/>
      <c r="C112" s="5"/>
      <c r="D112" s="5"/>
      <c r="E112" s="5"/>
      <c r="F112" s="5"/>
      <c r="G112" s="5"/>
      <c r="H112" s="5"/>
      <c r="I112" s="5"/>
      <c r="J112" s="5"/>
      <c r="K112" s="6"/>
      <c r="L112" s="6"/>
      <c r="M112" s="6"/>
      <c r="N112" s="5" t="str">
        <f t="shared" si="2"/>
        <v/>
      </c>
    </row>
    <row r="113" spans="1:14">
      <c r="A113" s="5"/>
      <c r="B113" s="5"/>
      <c r="C113" s="5"/>
      <c r="D113" s="5"/>
      <c r="E113" s="5"/>
      <c r="F113" s="5"/>
      <c r="G113" s="5"/>
      <c r="H113" s="5"/>
      <c r="I113" s="5"/>
      <c r="J113" s="5"/>
      <c r="K113" s="6"/>
      <c r="L113" s="6"/>
      <c r="M113" s="6"/>
      <c r="N113" s="5" t="str">
        <f t="shared" si="2"/>
        <v/>
      </c>
    </row>
    <row r="114" spans="1:14">
      <c r="A114" s="5"/>
      <c r="B114" s="5"/>
      <c r="C114" s="5"/>
      <c r="D114" s="5"/>
      <c r="E114" s="5"/>
      <c r="F114" s="5"/>
      <c r="G114" s="5"/>
      <c r="H114" s="5"/>
      <c r="I114" s="5"/>
      <c r="J114" s="5"/>
      <c r="K114" s="6"/>
      <c r="L114" s="6"/>
      <c r="M114" s="6"/>
      <c r="N114" s="5" t="str">
        <f t="shared" si="2"/>
        <v/>
      </c>
    </row>
    <row r="115" spans="1:14">
      <c r="A115" s="5"/>
      <c r="B115" s="5"/>
      <c r="C115" s="5"/>
      <c r="D115" s="5"/>
      <c r="E115" s="5"/>
      <c r="F115" s="5"/>
      <c r="G115" s="5"/>
      <c r="H115" s="5"/>
      <c r="I115" s="5"/>
      <c r="J115" s="5"/>
      <c r="K115" s="6"/>
      <c r="L115" s="6"/>
      <c r="M115" s="6"/>
      <c r="N115" s="5" t="str">
        <f t="shared" si="2"/>
        <v/>
      </c>
    </row>
    <row r="116" spans="1:14">
      <c r="A116" s="5"/>
      <c r="B116" s="5"/>
      <c r="C116" s="5"/>
      <c r="D116" s="5"/>
      <c r="E116" s="5"/>
      <c r="F116" s="5"/>
      <c r="G116" s="5"/>
      <c r="H116" s="5"/>
      <c r="I116" s="5"/>
      <c r="J116" s="5"/>
      <c r="K116" s="6"/>
      <c r="L116" s="6"/>
      <c r="M116" s="6"/>
      <c r="N116" s="5" t="str">
        <f t="shared" si="2"/>
        <v/>
      </c>
    </row>
    <row r="117" spans="1:14">
      <c r="A117" s="5"/>
      <c r="B117" s="5"/>
      <c r="C117" s="5"/>
      <c r="D117" s="5"/>
      <c r="E117" s="5"/>
      <c r="F117" s="5"/>
      <c r="G117" s="5"/>
      <c r="H117" s="5"/>
      <c r="I117" s="5"/>
      <c r="J117" s="5"/>
      <c r="K117" s="6"/>
      <c r="L117" s="6"/>
      <c r="M117" s="6"/>
      <c r="N117" s="5" t="str">
        <f t="shared" si="2"/>
        <v/>
      </c>
    </row>
    <row r="118" spans="1:14">
      <c r="A118" s="5"/>
      <c r="B118" s="5"/>
      <c r="C118" s="5"/>
      <c r="D118" s="5"/>
      <c r="E118" s="5"/>
      <c r="F118" s="5"/>
      <c r="G118" s="5"/>
      <c r="H118" s="5"/>
      <c r="I118" s="5"/>
      <c r="J118" s="5"/>
      <c r="K118" s="6"/>
      <c r="L118" s="6"/>
      <c r="M118" s="6"/>
      <c r="N118" s="5" t="str">
        <f t="shared" si="2"/>
        <v/>
      </c>
    </row>
    <row r="119" spans="1:14">
      <c r="A119" s="5"/>
      <c r="B119" s="5"/>
      <c r="C119" s="5"/>
      <c r="D119" s="5"/>
      <c r="E119" s="5"/>
      <c r="F119" s="5"/>
      <c r="G119" s="5"/>
      <c r="H119" s="5"/>
      <c r="I119" s="5"/>
      <c r="J119" s="5"/>
      <c r="K119" s="6"/>
      <c r="L119" s="6"/>
      <c r="M119" s="6"/>
      <c r="N119" s="5" t="str">
        <f t="shared" si="2"/>
        <v/>
      </c>
    </row>
    <row r="120" spans="1:14">
      <c r="A120" s="5"/>
      <c r="B120" s="5"/>
      <c r="C120" s="5"/>
      <c r="D120" s="5"/>
      <c r="E120" s="5"/>
      <c r="F120" s="5"/>
      <c r="G120" s="5"/>
      <c r="H120" s="5"/>
      <c r="I120" s="5"/>
      <c r="J120" s="5"/>
      <c r="K120" s="6"/>
      <c r="L120" s="6"/>
      <c r="M120" s="6"/>
      <c r="N120" s="5" t="str">
        <f t="shared" si="2"/>
        <v/>
      </c>
    </row>
    <row r="121" spans="1:14">
      <c r="A121" s="5"/>
      <c r="B121" s="5"/>
      <c r="C121" s="5"/>
      <c r="D121" s="5"/>
      <c r="E121" s="5"/>
      <c r="F121" s="5"/>
      <c r="G121" s="5"/>
      <c r="H121" s="5"/>
      <c r="I121" s="5"/>
      <c r="J121" s="5"/>
      <c r="K121" s="6"/>
      <c r="L121" s="6"/>
      <c r="M121" s="6"/>
      <c r="N121" s="5" t="str">
        <f t="shared" si="2"/>
        <v/>
      </c>
    </row>
    <row r="122" spans="1:14">
      <c r="A122" s="5"/>
      <c r="B122" s="5"/>
      <c r="C122" s="5"/>
      <c r="D122" s="5"/>
      <c r="E122" s="5"/>
      <c r="F122" s="5"/>
      <c r="G122" s="5"/>
      <c r="H122" s="5"/>
      <c r="I122" s="5"/>
      <c r="J122" s="5"/>
      <c r="K122" s="6"/>
      <c r="L122" s="6"/>
      <c r="M122" s="6"/>
      <c r="N122" s="5" t="str">
        <f t="shared" si="2"/>
        <v/>
      </c>
    </row>
    <row r="123" spans="1:14">
      <c r="A123" s="5"/>
      <c r="B123" s="5"/>
      <c r="C123" s="5"/>
      <c r="D123" s="5"/>
      <c r="E123" s="5"/>
      <c r="F123" s="5"/>
      <c r="G123" s="5"/>
      <c r="H123" s="5"/>
      <c r="I123" s="5"/>
      <c r="J123" s="5"/>
      <c r="K123" s="6"/>
      <c r="L123" s="6"/>
      <c r="M123" s="6"/>
      <c r="N123" s="5" t="str">
        <f t="shared" si="2"/>
        <v/>
      </c>
    </row>
    <row r="124" spans="1:14">
      <c r="A124" s="5"/>
      <c r="B124" s="5"/>
      <c r="C124" s="5"/>
      <c r="D124" s="5"/>
      <c r="E124" s="5"/>
      <c r="F124" s="5"/>
      <c r="G124" s="5"/>
      <c r="H124" s="5"/>
      <c r="I124" s="5"/>
      <c r="J124" s="5"/>
      <c r="K124" s="6"/>
      <c r="L124" s="6"/>
      <c r="M124" s="6"/>
      <c r="N124" s="5" t="str">
        <f t="shared" si="2"/>
        <v/>
      </c>
    </row>
    <row r="125" spans="1:14">
      <c r="A125" s="5"/>
      <c r="B125" s="5"/>
      <c r="C125" s="5"/>
      <c r="D125" s="5"/>
      <c r="E125" s="5"/>
      <c r="F125" s="5"/>
      <c r="G125" s="5"/>
      <c r="H125" s="5"/>
      <c r="I125" s="5"/>
      <c r="J125" s="5"/>
      <c r="K125" s="6"/>
      <c r="L125" s="6"/>
      <c r="M125" s="6"/>
      <c r="N125" s="5" t="str">
        <f t="shared" si="2"/>
        <v/>
      </c>
    </row>
    <row r="126" spans="1:14">
      <c r="A126" s="5"/>
      <c r="B126" s="5"/>
      <c r="C126" s="5"/>
      <c r="D126" s="5"/>
      <c r="E126" s="5"/>
      <c r="F126" s="5"/>
      <c r="G126" s="5"/>
      <c r="H126" s="5"/>
      <c r="I126" s="5"/>
      <c r="J126" s="5"/>
      <c r="K126" s="6"/>
      <c r="L126" s="6"/>
      <c r="M126" s="6"/>
      <c r="N126" s="5" t="str">
        <f t="shared" si="2"/>
        <v/>
      </c>
    </row>
    <row r="127" spans="1:14">
      <c r="A127" s="5"/>
      <c r="B127" s="5"/>
      <c r="C127" s="5"/>
      <c r="D127" s="5"/>
      <c r="E127" s="5"/>
      <c r="F127" s="5"/>
      <c r="G127" s="5"/>
      <c r="H127" s="5"/>
      <c r="I127" s="5"/>
      <c r="J127" s="5"/>
      <c r="K127" s="6"/>
      <c r="L127" s="6"/>
      <c r="M127" s="6"/>
      <c r="N127" s="5" t="str">
        <f t="shared" si="2"/>
        <v/>
      </c>
    </row>
    <row r="128" spans="1:14">
      <c r="A128" s="5"/>
      <c r="B128" s="5"/>
      <c r="C128" s="5"/>
      <c r="D128" s="5"/>
      <c r="E128" s="5"/>
      <c r="F128" s="5"/>
      <c r="G128" s="5"/>
      <c r="H128" s="5"/>
      <c r="I128" s="5"/>
      <c r="J128" s="5"/>
      <c r="K128" s="6"/>
      <c r="L128" s="6"/>
      <c r="M128" s="6"/>
      <c r="N128" s="5" t="str">
        <f t="shared" si="2"/>
        <v/>
      </c>
    </row>
    <row r="129" spans="1:14">
      <c r="A129" s="5"/>
      <c r="B129" s="5"/>
      <c r="C129" s="5"/>
      <c r="D129" s="5"/>
      <c r="E129" s="5"/>
      <c r="F129" s="5"/>
      <c r="G129" s="5"/>
      <c r="H129" s="5"/>
      <c r="I129" s="5"/>
      <c r="J129" s="5"/>
      <c r="K129" s="6"/>
      <c r="L129" s="6"/>
      <c r="M129" s="6"/>
      <c r="N129" s="5" t="str">
        <f t="shared" si="2"/>
        <v/>
      </c>
    </row>
    <row r="130" spans="1:14">
      <c r="A130" s="5"/>
      <c r="B130" s="5"/>
      <c r="C130" s="5"/>
      <c r="D130" s="5"/>
      <c r="E130" s="5"/>
      <c r="F130" s="5"/>
      <c r="G130" s="5"/>
      <c r="H130" s="5"/>
      <c r="I130" s="5"/>
      <c r="J130" s="5"/>
      <c r="K130" s="6"/>
      <c r="L130" s="6"/>
      <c r="M130" s="6"/>
      <c r="N130" s="5" t="str">
        <f t="shared" si="2"/>
        <v/>
      </c>
    </row>
    <row r="131" spans="1:14">
      <c r="A131" s="5"/>
      <c r="B131" s="5"/>
      <c r="C131" s="5"/>
      <c r="D131" s="5"/>
      <c r="E131" s="5"/>
      <c r="F131" s="5"/>
      <c r="G131" s="5"/>
      <c r="H131" s="5"/>
      <c r="I131" s="5"/>
      <c r="J131" s="5"/>
      <c r="K131" s="6"/>
      <c r="L131" s="6"/>
      <c r="M131" s="6"/>
      <c r="N131" s="5" t="str">
        <f t="shared" si="2"/>
        <v/>
      </c>
    </row>
    <row r="132" spans="1:14">
      <c r="A132" s="5"/>
      <c r="B132" s="5"/>
      <c r="C132" s="5"/>
      <c r="D132" s="5"/>
      <c r="E132" s="5"/>
      <c r="F132" s="5"/>
      <c r="G132" s="5"/>
      <c r="H132" s="5"/>
      <c r="I132" s="5"/>
      <c r="J132" s="5"/>
      <c r="K132" s="6"/>
      <c r="L132" s="6"/>
      <c r="M132" s="6"/>
      <c r="N132" s="5" t="str">
        <f t="shared" ref="N132:N163" si="3">IF(OR(H132="",J132=""),"",IF(LOWER(H132)=LOWER(J132),1,0))</f>
        <v/>
      </c>
    </row>
    <row r="133" spans="1:14">
      <c r="A133" s="5"/>
      <c r="B133" s="5"/>
      <c r="C133" s="5"/>
      <c r="D133" s="5"/>
      <c r="E133" s="5"/>
      <c r="F133" s="5"/>
      <c r="G133" s="5"/>
      <c r="H133" s="5"/>
      <c r="I133" s="5"/>
      <c r="J133" s="5"/>
      <c r="K133" s="6"/>
      <c r="L133" s="6"/>
      <c r="M133" s="6"/>
      <c r="N133" s="5" t="str">
        <f t="shared" si="3"/>
        <v/>
      </c>
    </row>
    <row r="134" spans="1:14">
      <c r="A134" s="5"/>
      <c r="B134" s="5"/>
      <c r="C134" s="5"/>
      <c r="D134" s="5"/>
      <c r="E134" s="5"/>
      <c r="F134" s="5"/>
      <c r="G134" s="5"/>
      <c r="H134" s="5"/>
      <c r="I134" s="5"/>
      <c r="J134" s="5"/>
      <c r="K134" s="6"/>
      <c r="L134" s="6"/>
      <c r="M134" s="6"/>
      <c r="N134" s="5" t="str">
        <f t="shared" si="3"/>
        <v/>
      </c>
    </row>
    <row r="135" spans="1:14">
      <c r="A135" s="5"/>
      <c r="B135" s="5"/>
      <c r="C135" s="5"/>
      <c r="D135" s="5"/>
      <c r="E135" s="5"/>
      <c r="F135" s="5"/>
      <c r="G135" s="5"/>
      <c r="H135" s="5"/>
      <c r="I135" s="5"/>
      <c r="J135" s="5"/>
      <c r="K135" s="6"/>
      <c r="L135" s="6"/>
      <c r="M135" s="6"/>
      <c r="N135" s="5" t="str">
        <f t="shared" si="3"/>
        <v/>
      </c>
    </row>
    <row r="136" spans="1:14">
      <c r="A136" s="5"/>
      <c r="B136" s="5"/>
      <c r="C136" s="5"/>
      <c r="D136" s="5"/>
      <c r="E136" s="5"/>
      <c r="F136" s="5"/>
      <c r="G136" s="5"/>
      <c r="H136" s="5"/>
      <c r="I136" s="5"/>
      <c r="J136" s="5"/>
      <c r="K136" s="6"/>
      <c r="L136" s="6"/>
      <c r="M136" s="6"/>
      <c r="N136" s="5" t="str">
        <f t="shared" si="3"/>
        <v/>
      </c>
    </row>
    <row r="137" spans="1:14">
      <c r="A137" s="5"/>
      <c r="B137" s="5"/>
      <c r="C137" s="5"/>
      <c r="D137" s="5"/>
      <c r="E137" s="5"/>
      <c r="F137" s="5"/>
      <c r="G137" s="5"/>
      <c r="H137" s="5"/>
      <c r="I137" s="5"/>
      <c r="J137" s="5"/>
      <c r="K137" s="6"/>
      <c r="L137" s="6"/>
      <c r="M137" s="6"/>
      <c r="N137" s="5" t="str">
        <f t="shared" si="3"/>
        <v/>
      </c>
    </row>
    <row r="138" spans="1:14">
      <c r="A138" s="5"/>
      <c r="B138" s="5"/>
      <c r="C138" s="5"/>
      <c r="D138" s="5"/>
      <c r="E138" s="5"/>
      <c r="F138" s="5"/>
      <c r="G138" s="5"/>
      <c r="H138" s="5"/>
      <c r="I138" s="5"/>
      <c r="J138" s="5"/>
      <c r="K138" s="6"/>
      <c r="L138" s="6"/>
      <c r="M138" s="6"/>
      <c r="N138" s="5" t="str">
        <f t="shared" si="3"/>
        <v/>
      </c>
    </row>
    <row r="139" spans="1:14">
      <c r="A139" s="5"/>
      <c r="B139" s="5"/>
      <c r="C139" s="5"/>
      <c r="D139" s="5"/>
      <c r="E139" s="5"/>
      <c r="F139" s="5"/>
      <c r="G139" s="5"/>
      <c r="H139" s="5"/>
      <c r="I139" s="5"/>
      <c r="J139" s="5"/>
      <c r="K139" s="6"/>
      <c r="L139" s="6"/>
      <c r="M139" s="6"/>
      <c r="N139" s="5" t="str">
        <f t="shared" si="3"/>
        <v/>
      </c>
    </row>
    <row r="140" spans="1:14">
      <c r="A140" s="5"/>
      <c r="B140" s="5"/>
      <c r="C140" s="5"/>
      <c r="D140" s="5"/>
      <c r="E140" s="5"/>
      <c r="F140" s="5"/>
      <c r="G140" s="5"/>
      <c r="H140" s="5"/>
      <c r="I140" s="5"/>
      <c r="J140" s="5"/>
      <c r="K140" s="6"/>
      <c r="L140" s="6"/>
      <c r="M140" s="6"/>
      <c r="N140" s="5" t="str">
        <f t="shared" si="3"/>
        <v/>
      </c>
    </row>
    <row r="141" spans="1:14">
      <c r="A141" s="5"/>
      <c r="B141" s="5"/>
      <c r="C141" s="5"/>
      <c r="D141" s="5"/>
      <c r="E141" s="5"/>
      <c r="F141" s="5"/>
      <c r="G141" s="5"/>
      <c r="H141" s="5"/>
      <c r="I141" s="5"/>
      <c r="J141" s="5"/>
      <c r="K141" s="6"/>
      <c r="L141" s="6"/>
      <c r="M141" s="6"/>
      <c r="N141" s="5" t="str">
        <f t="shared" si="3"/>
        <v/>
      </c>
    </row>
    <row r="142" spans="1:14">
      <c r="A142" s="5"/>
      <c r="B142" s="5"/>
      <c r="C142" s="5"/>
      <c r="D142" s="5"/>
      <c r="E142" s="5"/>
      <c r="F142" s="5"/>
      <c r="G142" s="5"/>
      <c r="H142" s="5"/>
      <c r="I142" s="5"/>
      <c r="J142" s="5"/>
      <c r="K142" s="6"/>
      <c r="L142" s="6"/>
      <c r="M142" s="6"/>
      <c r="N142" s="5" t="str">
        <f t="shared" si="3"/>
        <v/>
      </c>
    </row>
    <row r="143" spans="1:14">
      <c r="A143" s="5"/>
      <c r="B143" s="5"/>
      <c r="C143" s="5"/>
      <c r="D143" s="5"/>
      <c r="E143" s="5"/>
      <c r="F143" s="5"/>
      <c r="G143" s="5"/>
      <c r="H143" s="5"/>
      <c r="I143" s="5"/>
      <c r="J143" s="5"/>
      <c r="K143" s="6"/>
      <c r="L143" s="6"/>
      <c r="M143" s="6"/>
      <c r="N143" s="5" t="str">
        <f t="shared" si="3"/>
        <v/>
      </c>
    </row>
    <row r="144" spans="1:14">
      <c r="A144" s="5"/>
      <c r="B144" s="5"/>
      <c r="C144" s="5"/>
      <c r="D144" s="5"/>
      <c r="E144" s="5"/>
      <c r="F144" s="5"/>
      <c r="G144" s="5"/>
      <c r="H144" s="5"/>
      <c r="I144" s="5"/>
      <c r="J144" s="5"/>
      <c r="K144" s="6"/>
      <c r="L144" s="6"/>
      <c r="M144" s="6"/>
      <c r="N144" s="5" t="str">
        <f t="shared" si="3"/>
        <v/>
      </c>
    </row>
    <row r="145" spans="1:14">
      <c r="A145" s="5"/>
      <c r="B145" s="5"/>
      <c r="C145" s="5"/>
      <c r="D145" s="5"/>
      <c r="E145" s="5"/>
      <c r="F145" s="5"/>
      <c r="G145" s="5"/>
      <c r="H145" s="5"/>
      <c r="I145" s="5"/>
      <c r="J145" s="5"/>
      <c r="K145" s="6"/>
      <c r="L145" s="6"/>
      <c r="M145" s="6"/>
      <c r="N145" s="5" t="str">
        <f t="shared" si="3"/>
        <v/>
      </c>
    </row>
    <row r="146" spans="1:14">
      <c r="A146" s="5"/>
      <c r="B146" s="5"/>
      <c r="C146" s="5"/>
      <c r="D146" s="5"/>
      <c r="E146" s="5"/>
      <c r="F146" s="5"/>
      <c r="G146" s="5"/>
      <c r="H146" s="5"/>
      <c r="I146" s="5"/>
      <c r="J146" s="5"/>
      <c r="K146" s="6"/>
      <c r="L146" s="6"/>
      <c r="M146" s="6"/>
      <c r="N146" s="5" t="str">
        <f t="shared" si="3"/>
        <v/>
      </c>
    </row>
    <row r="147" spans="1:14">
      <c r="A147" s="5"/>
      <c r="B147" s="5"/>
      <c r="C147" s="5"/>
      <c r="D147" s="5"/>
      <c r="E147" s="5"/>
      <c r="F147" s="5"/>
      <c r="G147" s="5"/>
      <c r="H147" s="5"/>
      <c r="I147" s="5"/>
      <c r="J147" s="5"/>
      <c r="K147" s="6"/>
      <c r="L147" s="6"/>
      <c r="M147" s="6"/>
      <c r="N147" s="5" t="str">
        <f t="shared" si="3"/>
        <v/>
      </c>
    </row>
    <row r="148" spans="1:14">
      <c r="A148" s="5"/>
      <c r="B148" s="5"/>
      <c r="C148" s="5"/>
      <c r="D148" s="5"/>
      <c r="E148" s="5"/>
      <c r="F148" s="5"/>
      <c r="G148" s="5"/>
      <c r="H148" s="5"/>
      <c r="I148" s="5"/>
      <c r="J148" s="5"/>
      <c r="K148" s="6"/>
      <c r="L148" s="6"/>
      <c r="M148" s="6"/>
      <c r="N148" s="5" t="str">
        <f t="shared" si="3"/>
        <v/>
      </c>
    </row>
    <row r="149" spans="1:14">
      <c r="A149" s="5"/>
      <c r="B149" s="5"/>
      <c r="C149" s="5"/>
      <c r="D149" s="5"/>
      <c r="E149" s="5"/>
      <c r="F149" s="5"/>
      <c r="G149" s="5"/>
      <c r="H149" s="5"/>
      <c r="I149" s="5"/>
      <c r="J149" s="5"/>
      <c r="K149" s="6"/>
      <c r="L149" s="6"/>
      <c r="M149" s="6"/>
      <c r="N149" s="5" t="str">
        <f t="shared" si="3"/>
        <v/>
      </c>
    </row>
    <row r="150" spans="1:14">
      <c r="A150" s="5"/>
      <c r="B150" s="5"/>
      <c r="C150" s="5"/>
      <c r="D150" s="5"/>
      <c r="E150" s="5"/>
      <c r="F150" s="5"/>
      <c r="G150" s="5"/>
      <c r="H150" s="5"/>
      <c r="I150" s="5"/>
      <c r="J150" s="5"/>
      <c r="K150" s="6"/>
      <c r="L150" s="6"/>
      <c r="M150" s="6"/>
      <c r="N150" s="5" t="str">
        <f t="shared" si="3"/>
        <v/>
      </c>
    </row>
    <row r="151" spans="1:14">
      <c r="A151" s="5"/>
      <c r="B151" s="5"/>
      <c r="C151" s="5"/>
      <c r="D151" s="5"/>
      <c r="E151" s="5"/>
      <c r="F151" s="5"/>
      <c r="G151" s="5"/>
      <c r="H151" s="5"/>
      <c r="I151" s="5"/>
      <c r="J151" s="5"/>
      <c r="K151" s="6"/>
      <c r="L151" s="6"/>
      <c r="M151" s="6"/>
      <c r="N151" s="5" t="str">
        <f t="shared" si="3"/>
        <v/>
      </c>
    </row>
    <row r="152" spans="1:14">
      <c r="A152" s="5"/>
      <c r="B152" s="5"/>
      <c r="C152" s="5"/>
      <c r="D152" s="5"/>
      <c r="E152" s="5"/>
      <c r="F152" s="5"/>
      <c r="G152" s="5"/>
      <c r="H152" s="5"/>
      <c r="I152" s="5"/>
      <c r="J152" s="5"/>
      <c r="K152" s="6"/>
      <c r="L152" s="6"/>
      <c r="M152" s="6"/>
      <c r="N152" s="5" t="str">
        <f t="shared" si="3"/>
        <v/>
      </c>
    </row>
    <row r="153" spans="1:14">
      <c r="A153" s="5"/>
      <c r="B153" s="5"/>
      <c r="C153" s="5"/>
      <c r="D153" s="5"/>
      <c r="E153" s="5"/>
      <c r="F153" s="5"/>
      <c r="G153" s="5"/>
      <c r="H153" s="5"/>
      <c r="I153" s="5"/>
      <c r="J153" s="5"/>
      <c r="K153" s="6"/>
      <c r="L153" s="6"/>
      <c r="M153" s="6"/>
      <c r="N153" s="5" t="str">
        <f t="shared" si="3"/>
        <v/>
      </c>
    </row>
    <row r="154" spans="1:14">
      <c r="A154" s="5"/>
      <c r="B154" s="5"/>
      <c r="C154" s="5"/>
      <c r="D154" s="5"/>
      <c r="E154" s="5"/>
      <c r="F154" s="5"/>
      <c r="G154" s="5"/>
      <c r="H154" s="5"/>
      <c r="I154" s="5"/>
      <c r="J154" s="5"/>
      <c r="K154" s="6"/>
      <c r="L154" s="6"/>
      <c r="M154" s="6"/>
      <c r="N154" s="5" t="str">
        <f t="shared" si="3"/>
        <v/>
      </c>
    </row>
    <row r="155" spans="1:14">
      <c r="A155" s="5"/>
      <c r="B155" s="5"/>
      <c r="C155" s="5"/>
      <c r="D155" s="5"/>
      <c r="E155" s="5"/>
      <c r="F155" s="5"/>
      <c r="G155" s="5"/>
      <c r="H155" s="5"/>
      <c r="I155" s="5"/>
      <c r="J155" s="5"/>
      <c r="K155" s="6"/>
      <c r="L155" s="6"/>
      <c r="M155" s="6"/>
      <c r="N155" s="5" t="str">
        <f t="shared" si="3"/>
        <v/>
      </c>
    </row>
    <row r="156" spans="1:14">
      <c r="A156" s="5"/>
      <c r="B156" s="5"/>
      <c r="C156" s="5"/>
      <c r="D156" s="5"/>
      <c r="E156" s="5"/>
      <c r="F156" s="5"/>
      <c r="G156" s="5"/>
      <c r="H156" s="5"/>
      <c r="I156" s="5"/>
      <c r="J156" s="5"/>
      <c r="K156" s="6"/>
      <c r="L156" s="6"/>
      <c r="M156" s="6"/>
      <c r="N156" s="5" t="str">
        <f t="shared" si="3"/>
        <v/>
      </c>
    </row>
    <row r="157" spans="1:14">
      <c r="A157" s="5"/>
      <c r="B157" s="5"/>
      <c r="C157" s="5"/>
      <c r="D157" s="5"/>
      <c r="E157" s="5"/>
      <c r="F157" s="5"/>
      <c r="G157" s="5"/>
      <c r="H157" s="5"/>
      <c r="I157" s="5"/>
      <c r="J157" s="5"/>
      <c r="K157" s="6"/>
      <c r="L157" s="6"/>
      <c r="M157" s="6"/>
      <c r="N157" s="5" t="str">
        <f t="shared" si="3"/>
        <v/>
      </c>
    </row>
    <row r="158" spans="1:14">
      <c r="A158" s="5"/>
      <c r="B158" s="5"/>
      <c r="C158" s="5"/>
      <c r="D158" s="5"/>
      <c r="E158" s="5"/>
      <c r="F158" s="5"/>
      <c r="G158" s="5"/>
      <c r="H158" s="5"/>
      <c r="I158" s="5"/>
      <c r="J158" s="5"/>
      <c r="K158" s="6"/>
      <c r="L158" s="6"/>
      <c r="M158" s="6"/>
      <c r="N158" s="5" t="str">
        <f t="shared" si="3"/>
        <v/>
      </c>
    </row>
    <row r="159" spans="1:14">
      <c r="A159" s="5"/>
      <c r="B159" s="5"/>
      <c r="C159" s="5"/>
      <c r="D159" s="5"/>
      <c r="E159" s="5"/>
      <c r="F159" s="5"/>
      <c r="G159" s="5"/>
      <c r="H159" s="5"/>
      <c r="I159" s="5"/>
      <c r="J159" s="5"/>
      <c r="K159" s="6"/>
      <c r="L159" s="6"/>
      <c r="M159" s="6"/>
      <c r="N159" s="5" t="str">
        <f t="shared" si="3"/>
        <v/>
      </c>
    </row>
    <row r="160" spans="1:14">
      <c r="A160" s="5"/>
      <c r="B160" s="5"/>
      <c r="C160" s="5"/>
      <c r="D160" s="5"/>
      <c r="E160" s="5"/>
      <c r="F160" s="5"/>
      <c r="G160" s="5"/>
      <c r="H160" s="5"/>
      <c r="I160" s="5"/>
      <c r="J160" s="5"/>
      <c r="K160" s="6"/>
      <c r="L160" s="6"/>
      <c r="M160" s="6"/>
      <c r="N160" s="5" t="str">
        <f t="shared" si="3"/>
        <v/>
      </c>
    </row>
    <row r="161" spans="1:14">
      <c r="A161" s="5"/>
      <c r="B161" s="5"/>
      <c r="C161" s="5"/>
      <c r="D161" s="5"/>
      <c r="E161" s="5"/>
      <c r="F161" s="5"/>
      <c r="G161" s="5"/>
      <c r="H161" s="5"/>
      <c r="I161" s="5"/>
      <c r="J161" s="5"/>
      <c r="K161" s="6"/>
      <c r="L161" s="6"/>
      <c r="M161" s="6"/>
      <c r="N161" s="5" t="str">
        <f t="shared" si="3"/>
        <v/>
      </c>
    </row>
    <row r="162" spans="1:14">
      <c r="A162" s="5"/>
      <c r="B162" s="5"/>
      <c r="C162" s="5"/>
      <c r="D162" s="5"/>
      <c r="E162" s="5"/>
      <c r="F162" s="5"/>
      <c r="G162" s="5"/>
      <c r="H162" s="5"/>
      <c r="I162" s="5"/>
      <c r="J162" s="5"/>
      <c r="K162" s="6"/>
      <c r="L162" s="6"/>
      <c r="M162" s="6"/>
      <c r="N162" s="5" t="str">
        <f t="shared" si="3"/>
        <v/>
      </c>
    </row>
    <row r="163" spans="1:14">
      <c r="A163" s="5"/>
      <c r="B163" s="5"/>
      <c r="C163" s="5"/>
      <c r="D163" s="5"/>
      <c r="E163" s="5"/>
      <c r="F163" s="5"/>
      <c r="G163" s="5"/>
      <c r="H163" s="5"/>
      <c r="I163" s="5"/>
      <c r="J163" s="5"/>
      <c r="K163" s="6"/>
      <c r="L163" s="6"/>
      <c r="M163" s="6"/>
      <c r="N163" s="5" t="str">
        <f t="shared" si="3"/>
        <v/>
      </c>
    </row>
    <row r="164" spans="1:14">
      <c r="A164" s="5"/>
      <c r="B164" s="5"/>
      <c r="C164" s="5"/>
      <c r="D164" s="5"/>
      <c r="E164" s="5"/>
      <c r="F164" s="5"/>
      <c r="G164" s="5"/>
      <c r="H164" s="5"/>
      <c r="I164" s="5"/>
      <c r="J164" s="5"/>
      <c r="K164" s="6"/>
      <c r="L164" s="6"/>
      <c r="M164" s="6"/>
      <c r="N164" s="5" t="str">
        <f t="shared" ref="N164:N195" si="4">IF(OR(H164="",J164=""),"",IF(LOWER(H164)=LOWER(J164),1,0))</f>
        <v/>
      </c>
    </row>
    <row r="165" spans="1:14">
      <c r="A165" s="5"/>
      <c r="B165" s="5"/>
      <c r="C165" s="5"/>
      <c r="D165" s="5"/>
      <c r="E165" s="5"/>
      <c r="F165" s="5"/>
      <c r="G165" s="5"/>
      <c r="H165" s="5"/>
      <c r="I165" s="5"/>
      <c r="J165" s="5"/>
      <c r="K165" s="6"/>
      <c r="L165" s="6"/>
      <c r="M165" s="6"/>
      <c r="N165" s="5" t="str">
        <f t="shared" si="4"/>
        <v/>
      </c>
    </row>
    <row r="166" spans="1:14">
      <c r="A166" s="5"/>
      <c r="B166" s="5"/>
      <c r="C166" s="5"/>
      <c r="D166" s="5"/>
      <c r="E166" s="5"/>
      <c r="F166" s="5"/>
      <c r="G166" s="5"/>
      <c r="H166" s="5"/>
      <c r="I166" s="5"/>
      <c r="J166" s="5"/>
      <c r="K166" s="6"/>
      <c r="L166" s="6"/>
      <c r="M166" s="6"/>
      <c r="N166" s="5" t="str">
        <f t="shared" si="4"/>
        <v/>
      </c>
    </row>
    <row r="167" spans="1:14">
      <c r="A167" s="5"/>
      <c r="B167" s="5"/>
      <c r="C167" s="5"/>
      <c r="D167" s="5"/>
      <c r="E167" s="5"/>
      <c r="F167" s="5"/>
      <c r="G167" s="5"/>
      <c r="H167" s="5"/>
      <c r="I167" s="5"/>
      <c r="J167" s="5"/>
      <c r="K167" s="6"/>
      <c r="L167" s="6"/>
      <c r="M167" s="6"/>
      <c r="N167" s="5" t="str">
        <f t="shared" si="4"/>
        <v/>
      </c>
    </row>
    <row r="168" spans="1:14">
      <c r="A168" s="5"/>
      <c r="B168" s="5"/>
      <c r="C168" s="5"/>
      <c r="D168" s="5"/>
      <c r="E168" s="5"/>
      <c r="F168" s="5"/>
      <c r="G168" s="5"/>
      <c r="H168" s="5"/>
      <c r="I168" s="5"/>
      <c r="J168" s="5"/>
      <c r="K168" s="6"/>
      <c r="L168" s="6"/>
      <c r="M168" s="6"/>
      <c r="N168" s="5" t="str">
        <f t="shared" si="4"/>
        <v/>
      </c>
    </row>
    <row r="169" spans="1:14">
      <c r="A169" s="5"/>
      <c r="B169" s="5"/>
      <c r="C169" s="5"/>
      <c r="D169" s="5"/>
      <c r="E169" s="5"/>
      <c r="F169" s="5"/>
      <c r="G169" s="5"/>
      <c r="H169" s="5"/>
      <c r="I169" s="5"/>
      <c r="J169" s="5"/>
      <c r="K169" s="6"/>
      <c r="L169" s="6"/>
      <c r="M169" s="6"/>
      <c r="N169" s="5" t="str">
        <f t="shared" si="4"/>
        <v/>
      </c>
    </row>
    <row r="170" spans="1:14">
      <c r="A170" s="5"/>
      <c r="B170" s="5"/>
      <c r="C170" s="5"/>
      <c r="D170" s="5"/>
      <c r="E170" s="5"/>
      <c r="F170" s="5"/>
      <c r="G170" s="5"/>
      <c r="H170" s="5"/>
      <c r="I170" s="5"/>
      <c r="J170" s="5"/>
      <c r="K170" s="6"/>
      <c r="L170" s="6"/>
      <c r="M170" s="6"/>
      <c r="N170" s="5" t="str">
        <f t="shared" si="4"/>
        <v/>
      </c>
    </row>
    <row r="171" spans="1:14">
      <c r="A171" s="5"/>
      <c r="B171" s="5"/>
      <c r="C171" s="5"/>
      <c r="D171" s="5"/>
      <c r="E171" s="5"/>
      <c r="F171" s="5"/>
      <c r="G171" s="5"/>
      <c r="H171" s="5"/>
      <c r="I171" s="5"/>
      <c r="J171" s="5"/>
      <c r="K171" s="6"/>
      <c r="L171" s="6"/>
      <c r="M171" s="6"/>
      <c r="N171" s="5" t="str">
        <f t="shared" si="4"/>
        <v/>
      </c>
    </row>
    <row r="172" spans="1:14">
      <c r="A172" s="5"/>
      <c r="B172" s="5"/>
      <c r="C172" s="5"/>
      <c r="D172" s="5"/>
      <c r="E172" s="5"/>
      <c r="F172" s="5"/>
      <c r="G172" s="5"/>
      <c r="H172" s="5"/>
      <c r="I172" s="5"/>
      <c r="J172" s="5"/>
      <c r="K172" s="6"/>
      <c r="L172" s="6"/>
      <c r="M172" s="6"/>
      <c r="N172" s="5" t="str">
        <f t="shared" si="4"/>
        <v/>
      </c>
    </row>
    <row r="173" spans="1:14">
      <c r="A173" s="5"/>
      <c r="B173" s="5"/>
      <c r="C173" s="5"/>
      <c r="D173" s="5"/>
      <c r="E173" s="5"/>
      <c r="F173" s="5"/>
      <c r="G173" s="5"/>
      <c r="H173" s="5"/>
      <c r="I173" s="5"/>
      <c r="J173" s="5"/>
      <c r="K173" s="6"/>
      <c r="L173" s="6"/>
      <c r="M173" s="6"/>
      <c r="N173" s="5" t="str">
        <f t="shared" si="4"/>
        <v/>
      </c>
    </row>
    <row r="174" spans="1:14">
      <c r="A174" s="5"/>
      <c r="B174" s="5"/>
      <c r="C174" s="5"/>
      <c r="D174" s="5"/>
      <c r="E174" s="5"/>
      <c r="F174" s="5"/>
      <c r="G174" s="5"/>
      <c r="H174" s="5"/>
      <c r="I174" s="5"/>
      <c r="J174" s="5"/>
      <c r="K174" s="6"/>
      <c r="L174" s="6"/>
      <c r="M174" s="6"/>
      <c r="N174" s="5" t="str">
        <f t="shared" si="4"/>
        <v/>
      </c>
    </row>
    <row r="175" spans="1:14">
      <c r="A175" s="5"/>
      <c r="B175" s="5"/>
      <c r="C175" s="5"/>
      <c r="D175" s="5"/>
      <c r="E175" s="5"/>
      <c r="F175" s="5"/>
      <c r="G175" s="5"/>
      <c r="H175" s="5"/>
      <c r="I175" s="5"/>
      <c r="J175" s="5"/>
      <c r="K175" s="6"/>
      <c r="L175" s="6"/>
      <c r="M175" s="6"/>
      <c r="N175" s="5" t="str">
        <f t="shared" si="4"/>
        <v/>
      </c>
    </row>
    <row r="176" spans="1:14">
      <c r="A176" s="5"/>
      <c r="B176" s="5"/>
      <c r="C176" s="5"/>
      <c r="D176" s="5"/>
      <c r="E176" s="5"/>
      <c r="F176" s="5"/>
      <c r="G176" s="5"/>
      <c r="H176" s="5"/>
      <c r="I176" s="5"/>
      <c r="J176" s="5"/>
      <c r="K176" s="6"/>
      <c r="L176" s="6"/>
      <c r="M176" s="6"/>
      <c r="N176" s="5" t="str">
        <f t="shared" si="4"/>
        <v/>
      </c>
    </row>
    <row r="177" spans="1:14">
      <c r="A177" s="5"/>
      <c r="B177" s="5"/>
      <c r="C177" s="5"/>
      <c r="D177" s="5"/>
      <c r="E177" s="5"/>
      <c r="F177" s="5"/>
      <c r="G177" s="5"/>
      <c r="H177" s="5"/>
      <c r="I177" s="5"/>
      <c r="J177" s="5"/>
      <c r="K177" s="6"/>
      <c r="L177" s="6"/>
      <c r="M177" s="6"/>
      <c r="N177" s="5" t="str">
        <f t="shared" si="4"/>
        <v/>
      </c>
    </row>
    <row r="178" spans="1:14">
      <c r="A178" s="5"/>
      <c r="B178" s="5"/>
      <c r="C178" s="5"/>
      <c r="D178" s="5"/>
      <c r="E178" s="5"/>
      <c r="F178" s="5"/>
      <c r="G178" s="5"/>
      <c r="H178" s="5"/>
      <c r="I178" s="5"/>
      <c r="J178" s="5"/>
      <c r="K178" s="6"/>
      <c r="L178" s="6"/>
      <c r="M178" s="6"/>
      <c r="N178" s="5" t="str">
        <f t="shared" si="4"/>
        <v/>
      </c>
    </row>
    <row r="179" spans="1:14">
      <c r="A179" s="5"/>
      <c r="B179" s="5"/>
      <c r="C179" s="5"/>
      <c r="D179" s="5"/>
      <c r="E179" s="5"/>
      <c r="F179" s="5"/>
      <c r="G179" s="5"/>
      <c r="H179" s="5"/>
      <c r="I179" s="5"/>
      <c r="J179" s="5"/>
      <c r="K179" s="6"/>
      <c r="L179" s="6"/>
      <c r="M179" s="6"/>
      <c r="N179" s="5" t="str">
        <f t="shared" si="4"/>
        <v/>
      </c>
    </row>
    <row r="180" spans="1:14">
      <c r="A180" s="5"/>
      <c r="B180" s="5"/>
      <c r="C180" s="5"/>
      <c r="D180" s="5"/>
      <c r="E180" s="5"/>
      <c r="F180" s="5"/>
      <c r="G180" s="5"/>
      <c r="H180" s="5"/>
      <c r="I180" s="5"/>
      <c r="J180" s="5"/>
      <c r="K180" s="6"/>
      <c r="L180" s="6"/>
      <c r="M180" s="6"/>
      <c r="N180" s="5" t="str">
        <f t="shared" si="4"/>
        <v/>
      </c>
    </row>
    <row r="181" spans="1:14">
      <c r="A181" s="5"/>
      <c r="B181" s="5"/>
      <c r="C181" s="5"/>
      <c r="D181" s="5"/>
      <c r="E181" s="5"/>
      <c r="F181" s="5"/>
      <c r="G181" s="5"/>
      <c r="H181" s="5"/>
      <c r="I181" s="5"/>
      <c r="J181" s="5"/>
      <c r="K181" s="6"/>
      <c r="L181" s="6"/>
      <c r="M181" s="6"/>
      <c r="N181" s="5" t="str">
        <f t="shared" si="4"/>
        <v/>
      </c>
    </row>
    <row r="182" spans="1:14">
      <c r="A182" s="5"/>
      <c r="B182" s="5"/>
      <c r="C182" s="5"/>
      <c r="D182" s="5"/>
      <c r="E182" s="5"/>
      <c r="F182" s="5"/>
      <c r="G182" s="5"/>
      <c r="H182" s="5"/>
      <c r="I182" s="5"/>
      <c r="J182" s="5"/>
      <c r="K182" s="6"/>
      <c r="L182" s="6"/>
      <c r="M182" s="6"/>
      <c r="N182" s="5" t="str">
        <f t="shared" si="4"/>
        <v/>
      </c>
    </row>
    <row r="183" spans="1:14">
      <c r="A183" s="5"/>
      <c r="B183" s="5"/>
      <c r="C183" s="5"/>
      <c r="D183" s="5"/>
      <c r="E183" s="5"/>
      <c r="F183" s="5"/>
      <c r="G183" s="5"/>
      <c r="H183" s="5"/>
      <c r="I183" s="5"/>
      <c r="J183" s="5"/>
      <c r="K183" s="6"/>
      <c r="L183" s="6"/>
      <c r="M183" s="6"/>
      <c r="N183" s="5" t="str">
        <f t="shared" si="4"/>
        <v/>
      </c>
    </row>
    <row r="184" spans="1:14">
      <c r="A184" s="5"/>
      <c r="B184" s="5"/>
      <c r="C184" s="5"/>
      <c r="D184" s="5"/>
      <c r="E184" s="5"/>
      <c r="F184" s="5"/>
      <c r="G184" s="5"/>
      <c r="H184" s="5"/>
      <c r="I184" s="5"/>
      <c r="J184" s="5"/>
      <c r="K184" s="6"/>
      <c r="L184" s="6"/>
      <c r="M184" s="6"/>
      <c r="N184" s="5" t="str">
        <f t="shared" si="4"/>
        <v/>
      </c>
    </row>
    <row r="185" spans="1:14">
      <c r="A185" s="5"/>
      <c r="B185" s="5"/>
      <c r="C185" s="5"/>
      <c r="D185" s="5"/>
      <c r="E185" s="5"/>
      <c r="F185" s="5"/>
      <c r="G185" s="5"/>
      <c r="H185" s="5"/>
      <c r="I185" s="5"/>
      <c r="J185" s="5"/>
      <c r="K185" s="6"/>
      <c r="L185" s="6"/>
      <c r="M185" s="6"/>
      <c r="N185" s="5" t="str">
        <f t="shared" si="4"/>
        <v/>
      </c>
    </row>
    <row r="186" spans="1:14">
      <c r="A186" s="5"/>
      <c r="B186" s="5"/>
      <c r="C186" s="5"/>
      <c r="D186" s="5"/>
      <c r="E186" s="5"/>
      <c r="F186" s="5"/>
      <c r="G186" s="5"/>
      <c r="H186" s="5"/>
      <c r="I186" s="5"/>
      <c r="J186" s="5"/>
      <c r="K186" s="6"/>
      <c r="L186" s="6"/>
      <c r="M186" s="6"/>
      <c r="N186" s="5" t="str">
        <f t="shared" si="4"/>
        <v/>
      </c>
    </row>
    <row r="187" spans="1:14">
      <c r="A187" s="5"/>
      <c r="B187" s="5"/>
      <c r="C187" s="5"/>
      <c r="D187" s="5"/>
      <c r="E187" s="5"/>
      <c r="F187" s="5"/>
      <c r="G187" s="5"/>
      <c r="H187" s="5"/>
      <c r="I187" s="5"/>
      <c r="J187" s="5"/>
      <c r="K187" s="6"/>
      <c r="L187" s="6"/>
      <c r="M187" s="6"/>
      <c r="N187" s="5" t="str">
        <f t="shared" si="4"/>
        <v/>
      </c>
    </row>
    <row r="188" spans="1:14">
      <c r="A188" s="5"/>
      <c r="B188" s="5"/>
      <c r="C188" s="5"/>
      <c r="D188" s="5"/>
      <c r="E188" s="5"/>
      <c r="F188" s="5"/>
      <c r="G188" s="5"/>
      <c r="H188" s="5"/>
      <c r="I188" s="5"/>
      <c r="J188" s="5"/>
      <c r="K188" s="6"/>
      <c r="L188" s="6"/>
      <c r="M188" s="6"/>
      <c r="N188" s="5" t="str">
        <f t="shared" si="4"/>
        <v/>
      </c>
    </row>
    <row r="189" spans="1:14">
      <c r="A189" s="5"/>
      <c r="B189" s="5"/>
      <c r="C189" s="5"/>
      <c r="D189" s="5"/>
      <c r="E189" s="5"/>
      <c r="F189" s="5"/>
      <c r="G189" s="5"/>
      <c r="H189" s="5"/>
      <c r="I189" s="5"/>
      <c r="J189" s="5"/>
      <c r="K189" s="6"/>
      <c r="L189" s="6"/>
      <c r="M189" s="6"/>
      <c r="N189" s="5" t="str">
        <f t="shared" si="4"/>
        <v/>
      </c>
    </row>
    <row r="190" spans="1:14">
      <c r="A190" s="5"/>
      <c r="B190" s="5"/>
      <c r="C190" s="5"/>
      <c r="D190" s="5"/>
      <c r="E190" s="5"/>
      <c r="F190" s="5"/>
      <c r="G190" s="5"/>
      <c r="H190" s="5"/>
      <c r="I190" s="5"/>
      <c r="J190" s="5"/>
      <c r="K190" s="6"/>
      <c r="L190" s="6"/>
      <c r="M190" s="6"/>
      <c r="N190" s="5" t="str">
        <f t="shared" si="4"/>
        <v/>
      </c>
    </row>
    <row r="191" spans="1:14">
      <c r="A191" s="5"/>
      <c r="B191" s="5"/>
      <c r="C191" s="5"/>
      <c r="D191" s="5"/>
      <c r="E191" s="5"/>
      <c r="F191" s="5"/>
      <c r="G191" s="5"/>
      <c r="H191" s="5"/>
      <c r="I191" s="5"/>
      <c r="J191" s="5"/>
      <c r="K191" s="6"/>
      <c r="L191" s="6"/>
      <c r="M191" s="6"/>
      <c r="N191" s="5" t="str">
        <f t="shared" si="4"/>
        <v/>
      </c>
    </row>
    <row r="192" spans="1:14">
      <c r="A192" s="5"/>
      <c r="B192" s="5"/>
      <c r="C192" s="5"/>
      <c r="D192" s="5"/>
      <c r="E192" s="5"/>
      <c r="F192" s="5"/>
      <c r="G192" s="5"/>
      <c r="H192" s="5"/>
      <c r="I192" s="5"/>
      <c r="J192" s="5"/>
      <c r="K192" s="6"/>
      <c r="L192" s="6"/>
      <c r="M192" s="6"/>
      <c r="N192" s="5" t="str">
        <f t="shared" si="4"/>
        <v/>
      </c>
    </row>
    <row r="193" spans="1:14">
      <c r="A193" s="5"/>
      <c r="B193" s="5"/>
      <c r="C193" s="5"/>
      <c r="D193" s="5"/>
      <c r="E193" s="5"/>
      <c r="F193" s="5"/>
      <c r="G193" s="5"/>
      <c r="H193" s="5"/>
      <c r="I193" s="5"/>
      <c r="J193" s="5"/>
      <c r="K193" s="6"/>
      <c r="L193" s="6"/>
      <c r="M193" s="6"/>
      <c r="N193" s="5" t="str">
        <f t="shared" si="4"/>
        <v/>
      </c>
    </row>
    <row r="194" spans="1:14">
      <c r="A194" s="5"/>
      <c r="B194" s="5"/>
      <c r="C194" s="5"/>
      <c r="D194" s="5"/>
      <c r="E194" s="5"/>
      <c r="F194" s="5"/>
      <c r="G194" s="5"/>
      <c r="H194" s="5"/>
      <c r="I194" s="5"/>
      <c r="J194" s="5"/>
      <c r="K194" s="6"/>
      <c r="L194" s="6"/>
      <c r="M194" s="6"/>
      <c r="N194" s="5" t="str">
        <f t="shared" si="4"/>
        <v/>
      </c>
    </row>
    <row r="195" spans="1:14">
      <c r="A195" s="5"/>
      <c r="B195" s="5"/>
      <c r="C195" s="5"/>
      <c r="D195" s="5"/>
      <c r="E195" s="5"/>
      <c r="F195" s="5"/>
      <c r="G195" s="5"/>
      <c r="H195" s="5"/>
      <c r="I195" s="5"/>
      <c r="J195" s="5"/>
      <c r="K195" s="6"/>
      <c r="L195" s="6"/>
      <c r="M195" s="6"/>
      <c r="N195" s="5" t="str">
        <f t="shared" si="4"/>
        <v/>
      </c>
    </row>
    <row r="196" spans="1:14">
      <c r="A196" s="5"/>
      <c r="B196" s="5"/>
      <c r="C196" s="5"/>
      <c r="D196" s="5"/>
      <c r="E196" s="5"/>
      <c r="F196" s="5"/>
      <c r="G196" s="5"/>
      <c r="H196" s="5"/>
      <c r="I196" s="5"/>
      <c r="J196" s="5"/>
      <c r="K196" s="6"/>
      <c r="L196" s="6"/>
      <c r="M196" s="6"/>
      <c r="N196" s="5" t="str">
        <f t="shared" ref="N196:N203" si="5">IF(OR(H196="",J196=""),"",IF(LOWER(H196)=LOWER(J196),1,0))</f>
        <v/>
      </c>
    </row>
    <row r="197" spans="1:14">
      <c r="A197" s="5"/>
      <c r="B197" s="5"/>
      <c r="C197" s="5"/>
      <c r="D197" s="5"/>
      <c r="E197" s="5"/>
      <c r="F197" s="5"/>
      <c r="G197" s="5"/>
      <c r="H197" s="5"/>
      <c r="I197" s="5"/>
      <c r="J197" s="5"/>
      <c r="K197" s="6"/>
      <c r="L197" s="6"/>
      <c r="M197" s="6"/>
      <c r="N197" s="5" t="str">
        <f t="shared" si="5"/>
        <v/>
      </c>
    </row>
    <row r="198" spans="1:14">
      <c r="A198" s="5"/>
      <c r="B198" s="5"/>
      <c r="C198" s="5"/>
      <c r="D198" s="5"/>
      <c r="E198" s="5"/>
      <c r="F198" s="5"/>
      <c r="G198" s="5"/>
      <c r="H198" s="5"/>
      <c r="I198" s="5"/>
      <c r="J198" s="5"/>
      <c r="K198" s="6"/>
      <c r="L198" s="6"/>
      <c r="M198" s="6"/>
      <c r="N198" s="5" t="str">
        <f t="shared" si="5"/>
        <v/>
      </c>
    </row>
    <row r="199" spans="1:14">
      <c r="A199" s="5"/>
      <c r="B199" s="5"/>
      <c r="C199" s="5"/>
      <c r="D199" s="5"/>
      <c r="E199" s="5"/>
      <c r="F199" s="5"/>
      <c r="G199" s="5"/>
      <c r="H199" s="5"/>
      <c r="I199" s="5"/>
      <c r="J199" s="5"/>
      <c r="K199" s="6"/>
      <c r="L199" s="6"/>
      <c r="M199" s="6"/>
      <c r="N199" s="5" t="str">
        <f t="shared" si="5"/>
        <v/>
      </c>
    </row>
    <row r="200" spans="1:14">
      <c r="A200" s="5"/>
      <c r="B200" s="5"/>
      <c r="C200" s="5"/>
      <c r="D200" s="5"/>
      <c r="E200" s="5"/>
      <c r="F200" s="5"/>
      <c r="G200" s="5"/>
      <c r="H200" s="5"/>
      <c r="I200" s="5"/>
      <c r="J200" s="5"/>
      <c r="K200" s="6"/>
      <c r="L200" s="6"/>
      <c r="M200" s="6"/>
      <c r="N200" s="5" t="str">
        <f t="shared" si="5"/>
        <v/>
      </c>
    </row>
    <row r="201" spans="1:14">
      <c r="A201" s="5"/>
      <c r="B201" s="5"/>
      <c r="C201" s="5"/>
      <c r="D201" s="5"/>
      <c r="E201" s="5"/>
      <c r="F201" s="5"/>
      <c r="G201" s="5"/>
      <c r="H201" s="5"/>
      <c r="I201" s="5"/>
      <c r="J201" s="5"/>
      <c r="K201" s="6"/>
      <c r="L201" s="6"/>
      <c r="M201" s="6"/>
      <c r="N201" s="5" t="str">
        <f t="shared" si="5"/>
        <v/>
      </c>
    </row>
    <row r="202" spans="1:14">
      <c r="A202" s="5"/>
      <c r="B202" s="5"/>
      <c r="C202" s="5"/>
      <c r="D202" s="5"/>
      <c r="E202" s="5"/>
      <c r="F202" s="5"/>
      <c r="G202" s="5"/>
      <c r="H202" s="5"/>
      <c r="I202" s="5"/>
      <c r="J202" s="5"/>
      <c r="K202" s="6"/>
      <c r="L202" s="6"/>
      <c r="M202" s="6"/>
      <c r="N202" s="5" t="str">
        <f t="shared" si="5"/>
        <v/>
      </c>
    </row>
    <row r="203" spans="1:14">
      <c r="A203" s="5"/>
      <c r="B203" s="5"/>
      <c r="C203" s="5"/>
      <c r="D203" s="5"/>
      <c r="E203" s="5"/>
      <c r="F203" s="5"/>
      <c r="G203" s="5"/>
      <c r="H203" s="5"/>
      <c r="I203" s="5"/>
      <c r="J203" s="5"/>
      <c r="K203" s="6"/>
      <c r="L203" s="6"/>
      <c r="M203" s="6"/>
      <c r="N203" s="5" t="str">
        <f t="shared" si="5"/>
        <v/>
      </c>
    </row>
  </sheetData>
  <mergeCells count="1">
    <mergeCell ref="A1:N1"/>
  </mergeCells>
  <dataValidations count="1">
    <dataValidation type="list" sqref="J4:J203 G4:H203" xr:uid="{00000000-0002-0000-0100-000000000000}">
      <formula1>"positive,negative,neutral"</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4"/>
  <sheetViews>
    <sheetView workbookViewId="0">
      <selection sqref="A1:E1"/>
    </sheetView>
  </sheetViews>
  <sheetFormatPr defaultRowHeight="13.8"/>
  <cols>
    <col min="1" max="1" width="26" customWidth="1"/>
    <col min="2" max="4" width="20" customWidth="1"/>
    <col min="5" max="5" width="22" customWidth="1"/>
  </cols>
  <sheetData>
    <row r="1" spans="1:5" ht="19.2">
      <c r="A1" s="12" t="s">
        <v>38</v>
      </c>
      <c r="B1" s="12"/>
      <c r="C1" s="12"/>
      <c r="D1" s="12"/>
      <c r="E1" s="12"/>
    </row>
    <row r="2" spans="1:5">
      <c r="A2" s="2"/>
      <c r="B2" s="2"/>
      <c r="C2" s="2"/>
      <c r="D2" s="2"/>
      <c r="E2" s="2"/>
    </row>
    <row r="3" spans="1:5" ht="27.6">
      <c r="A3" s="3" t="s">
        <v>39</v>
      </c>
      <c r="B3" s="3" t="s">
        <v>40</v>
      </c>
      <c r="C3" s="2"/>
      <c r="D3" s="2"/>
      <c r="E3" s="2"/>
    </row>
    <row r="4" spans="1:5">
      <c r="A4" s="2" t="s">
        <v>41</v>
      </c>
      <c r="B4" s="2">
        <f>COUNTIF('Headline Dataset'!$H$4:$H$203,"positive")</f>
        <v>16</v>
      </c>
      <c r="C4" s="2"/>
      <c r="D4" s="2"/>
      <c r="E4" s="2"/>
    </row>
    <row r="5" spans="1:5">
      <c r="A5" s="2" t="s">
        <v>42</v>
      </c>
      <c r="B5" s="2">
        <f>COUNTIF('Headline Dataset'!$H$4:$H$203,"negative")</f>
        <v>26</v>
      </c>
      <c r="C5" s="2"/>
      <c r="D5" s="2"/>
      <c r="E5" s="2"/>
    </row>
    <row r="6" spans="1:5">
      <c r="A6" s="2" t="s">
        <v>43</v>
      </c>
      <c r="B6" s="2">
        <f>COUNTIF('Headline Dataset'!$H$4:$H$203,"neutral")</f>
        <v>18</v>
      </c>
      <c r="C6" s="2"/>
      <c r="D6" s="2"/>
      <c r="E6" s="2"/>
    </row>
    <row r="7" spans="1:5">
      <c r="A7" s="7" t="s">
        <v>44</v>
      </c>
      <c r="B7" s="7">
        <f>COUNTA('Headline Dataset'!$H$4:$H$203)</f>
        <v>60</v>
      </c>
      <c r="C7" s="2"/>
      <c r="D7" s="2"/>
      <c r="E7" s="2"/>
    </row>
    <row r="8" spans="1:5">
      <c r="A8" s="2"/>
      <c r="B8" s="2"/>
      <c r="C8" s="2"/>
      <c r="D8" s="2"/>
      <c r="E8" s="2"/>
    </row>
    <row r="9" spans="1:5">
      <c r="A9" s="2"/>
      <c r="B9" s="2"/>
      <c r="C9" s="2"/>
      <c r="D9" s="2"/>
      <c r="E9" s="2"/>
    </row>
    <row r="10" spans="1:5">
      <c r="A10" s="3" t="s">
        <v>45</v>
      </c>
      <c r="B10" s="3" t="s">
        <v>46</v>
      </c>
      <c r="C10" s="3" t="s">
        <v>47</v>
      </c>
      <c r="D10" s="3" t="s">
        <v>48</v>
      </c>
      <c r="E10" s="3" t="s">
        <v>49</v>
      </c>
    </row>
    <row r="11" spans="1:5">
      <c r="A11" s="2" t="s">
        <v>41</v>
      </c>
      <c r="B11" s="8">
        <f>IFERROR(COUNTIFS('Headline Dataset'!$H$4:$H$203,"positive",'Headline Dataset'!$J$4:$J$203,"positive")/COUNTIF('Headline Dataset'!$J$4:$J$203,"positive"),0)</f>
        <v>0.75</v>
      </c>
      <c r="C11" s="8">
        <f>IFERROR(COUNTIFS('Headline Dataset'!$H$4:$H$203,"positive",'Headline Dataset'!$J$4:$J$203,"positive")/COUNTIF('Headline Dataset'!$H$4:$H$203,"positive"),0)</f>
        <v>0.75</v>
      </c>
      <c r="D11" s="8">
        <f>IFERROR(2*B11*C11/(B11+C11),0)</f>
        <v>0.75</v>
      </c>
      <c r="E11" s="2">
        <f>COUNTIF('Headline Dataset'!$H$4:$H$203,"positive")</f>
        <v>16</v>
      </c>
    </row>
    <row r="12" spans="1:5">
      <c r="A12" s="2" t="s">
        <v>42</v>
      </c>
      <c r="B12" s="8">
        <f>IFERROR(COUNTIFS('Headline Dataset'!$H$4:$H$203,"negative",'Headline Dataset'!$J$4:$J$203,"negative")/COUNTIF('Headline Dataset'!$J$4:$J$203,"negative"),0)</f>
        <v>0.92</v>
      </c>
      <c r="C12" s="8">
        <f>IFERROR(COUNTIFS('Headline Dataset'!$H$4:$H$203,"negative",'Headline Dataset'!$J$4:$J$203,"negative")/COUNTIF('Headline Dataset'!$H$4:$H$203,"negative"),0)</f>
        <v>0.88461538461538458</v>
      </c>
      <c r="D12" s="8">
        <f>IFERROR(2*B12*C12/(B12+C12),0)</f>
        <v>0.90196078431372562</v>
      </c>
      <c r="E12" s="2">
        <f>COUNTIF('Headline Dataset'!$H$4:$H$203,"negative")</f>
        <v>26</v>
      </c>
    </row>
    <row r="13" spans="1:5">
      <c r="A13" s="2" t="s">
        <v>43</v>
      </c>
      <c r="B13" s="8">
        <f>IFERROR(COUNTIFS('Headline Dataset'!$H$4:$H$203,"neutral",'Headline Dataset'!$J$4:$J$203,"neutral")/COUNTIF('Headline Dataset'!$J$4:$J$203,"neutral"),0)</f>
        <v>0.89473684210526316</v>
      </c>
      <c r="C13" s="8">
        <f>IFERROR(COUNTIFS('Headline Dataset'!$H$4:$H$203,"neutral",'Headline Dataset'!$J$4:$J$203,"neutral")/COUNTIF('Headline Dataset'!$H$4:$H$203,"neutral"),0)</f>
        <v>0.94444444444444442</v>
      </c>
      <c r="D13" s="8">
        <f>IFERROR(2*B13*C13/(B13+C13),0)</f>
        <v>0.91891891891891897</v>
      </c>
      <c r="E13" s="2">
        <f>COUNTIF('Headline Dataset'!$H$4:$H$203,"neutral")</f>
        <v>18</v>
      </c>
    </row>
    <row r="14" spans="1:5">
      <c r="A14" s="7" t="s">
        <v>50</v>
      </c>
      <c r="B14" s="9">
        <f>AVERAGE(B11:B13)</f>
        <v>0.8549122807017544</v>
      </c>
      <c r="C14" s="9">
        <f>AVERAGE(C11:C13)</f>
        <v>0.85968660968660959</v>
      </c>
      <c r="D14" s="9">
        <f>AVERAGE(D11:D13)</f>
        <v>0.85695990107754827</v>
      </c>
      <c r="E14" s="7">
        <f>SUM(E11:E13)</f>
        <v>60</v>
      </c>
    </row>
    <row r="15" spans="1:5">
      <c r="A15" s="2"/>
      <c r="B15" s="8"/>
      <c r="C15" s="8"/>
      <c r="D15" s="8"/>
      <c r="E15" s="2"/>
    </row>
    <row r="16" spans="1:5">
      <c r="A16" s="1" t="s">
        <v>51</v>
      </c>
      <c r="B16" s="10">
        <f>IFERROR(SUM('Headline Dataset'!$N$4:$N$203)/COUNT('Headline Dataset'!$N$4:$N$203),0)</f>
        <v>0.8666666666666667</v>
      </c>
      <c r="C16" s="8"/>
      <c r="D16" s="8"/>
      <c r="E16" s="2"/>
    </row>
    <row r="17" spans="1:5">
      <c r="A17" s="2"/>
      <c r="B17" s="2"/>
      <c r="C17" s="2"/>
      <c r="D17" s="2"/>
      <c r="E17" s="2"/>
    </row>
    <row r="18" spans="1:5">
      <c r="A18" s="2"/>
      <c r="B18" s="2"/>
      <c r="C18" s="2"/>
      <c r="D18" s="2"/>
      <c r="E18" s="2"/>
    </row>
    <row r="19" spans="1:5">
      <c r="A19" s="3" t="s">
        <v>52</v>
      </c>
      <c r="B19" s="3" t="s">
        <v>53</v>
      </c>
      <c r="C19" s="3" t="s">
        <v>54</v>
      </c>
      <c r="D19" s="3" t="s">
        <v>55</v>
      </c>
      <c r="E19" s="2"/>
    </row>
    <row r="20" spans="1:5">
      <c r="A20" s="2" t="s">
        <v>41</v>
      </c>
      <c r="B20" s="2">
        <f>COUNTIFS('Headline Dataset'!$H$4:$H$203,"positive",'Headline Dataset'!$J$4:$J$203,"positive")</f>
        <v>12</v>
      </c>
      <c r="C20" s="2">
        <f>COUNTIFS('Headline Dataset'!$H$4:$H$203,"positive",'Headline Dataset'!$J$4:$J$203,"negative")</f>
        <v>2</v>
      </c>
      <c r="D20" s="2">
        <f>COUNTIFS('Headline Dataset'!$H$4:$H$203,"positive",'Headline Dataset'!$J$4:$J$203,"neutral")</f>
        <v>2</v>
      </c>
      <c r="E20" s="2"/>
    </row>
    <row r="21" spans="1:5">
      <c r="A21" s="2" t="s">
        <v>42</v>
      </c>
      <c r="B21" s="2">
        <f>COUNTIFS('Headline Dataset'!$H$4:$H$203,"negative",'Headline Dataset'!$J$4:$J$203,"positive")</f>
        <v>3</v>
      </c>
      <c r="C21" s="2">
        <f>COUNTIFS('Headline Dataset'!$H$4:$H$203,"negative",'Headline Dataset'!$J$4:$J$203,"negative")</f>
        <v>23</v>
      </c>
      <c r="D21" s="2">
        <f>COUNTIFS('Headline Dataset'!$H$4:$H$203,"negative",'Headline Dataset'!$J$4:$J$203,"neutral")</f>
        <v>0</v>
      </c>
      <c r="E21" s="2"/>
    </row>
    <row r="22" spans="1:5">
      <c r="A22" s="2" t="s">
        <v>43</v>
      </c>
      <c r="B22" s="2">
        <f>COUNTIFS('Headline Dataset'!$H$4:$H$203,"neutral",'Headline Dataset'!$J$4:$J$203,"positive")</f>
        <v>1</v>
      </c>
      <c r="C22" s="2">
        <f>COUNTIFS('Headline Dataset'!$H$4:$H$203,"neutral",'Headline Dataset'!$J$4:$J$203,"negative")</f>
        <v>0</v>
      </c>
      <c r="D22" s="2">
        <f>COUNTIFS('Headline Dataset'!$H$4:$H$203,"neutral",'Headline Dataset'!$J$4:$J$203,"neutral")</f>
        <v>17</v>
      </c>
      <c r="E22" s="2"/>
    </row>
    <row r="23" spans="1:5">
      <c r="A23" s="2"/>
      <c r="B23" s="2"/>
      <c r="C23" s="2"/>
      <c r="D23" s="2"/>
      <c r="E23" s="2"/>
    </row>
    <row r="24" spans="1:5">
      <c r="A24" s="2"/>
      <c r="B24" s="2"/>
      <c r="C24" s="2"/>
      <c r="D24" s="2"/>
      <c r="E24" s="2"/>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5"/>
  <sheetViews>
    <sheetView tabSelected="1" zoomScale="75" workbookViewId="0">
      <selection activeCell="E8" sqref="E8"/>
    </sheetView>
  </sheetViews>
  <sheetFormatPr defaultRowHeight="13.8"/>
  <cols>
    <col min="1" max="1" width="12" customWidth="1"/>
    <col min="2" max="2" width="16" customWidth="1"/>
    <col min="3" max="3" width="12" customWidth="1"/>
    <col min="4" max="4" width="48" customWidth="1"/>
    <col min="5" max="5" width="22" customWidth="1"/>
    <col min="6" max="7" width="12" customWidth="1"/>
    <col min="8" max="8" width="58" customWidth="1"/>
    <col min="9" max="9" width="12" customWidth="1"/>
    <col min="10" max="10" width="20" customWidth="1"/>
    <col min="11" max="11" width="18" customWidth="1"/>
    <col min="12" max="12" width="12" customWidth="1"/>
    <col min="13" max="13" width="14" customWidth="1"/>
    <col min="14" max="14" width="22" customWidth="1"/>
    <col min="15" max="15" width="12" customWidth="1"/>
    <col min="16" max="16" width="14" customWidth="1"/>
    <col min="17" max="17" width="36" customWidth="1"/>
  </cols>
  <sheetData>
    <row r="1" spans="1:17" ht="19.2">
      <c r="A1" s="11" t="s">
        <v>56</v>
      </c>
      <c r="B1" s="11"/>
      <c r="C1" s="11"/>
      <c r="D1" s="11"/>
      <c r="E1" s="11"/>
      <c r="F1" s="11"/>
      <c r="G1" s="11"/>
      <c r="H1" s="11"/>
      <c r="I1" s="11"/>
      <c r="J1" s="11"/>
      <c r="K1" s="11"/>
      <c r="L1" s="11"/>
      <c r="M1" s="11"/>
      <c r="N1" s="11"/>
      <c r="O1" s="11"/>
      <c r="P1" s="11"/>
      <c r="Q1" s="11"/>
    </row>
    <row r="3" spans="1:17" ht="27.6">
      <c r="A3" s="3" t="s">
        <v>57</v>
      </c>
      <c r="B3" s="3" t="s">
        <v>58</v>
      </c>
      <c r="C3" s="3" t="s">
        <v>59</v>
      </c>
      <c r="D3" s="3" t="s">
        <v>60</v>
      </c>
      <c r="E3" s="3" t="s">
        <v>61</v>
      </c>
      <c r="F3" s="3" t="s">
        <v>62</v>
      </c>
      <c r="G3" s="3" t="s">
        <v>63</v>
      </c>
      <c r="H3" s="3" t="s">
        <v>64</v>
      </c>
      <c r="I3" s="3" t="s">
        <v>65</v>
      </c>
      <c r="J3" s="3" t="s">
        <v>66</v>
      </c>
      <c r="K3" s="3" t="s">
        <v>67</v>
      </c>
      <c r="L3" s="3" t="s">
        <v>68</v>
      </c>
      <c r="M3" s="3" t="s">
        <v>69</v>
      </c>
      <c r="N3" s="3" t="s">
        <v>70</v>
      </c>
      <c r="O3" s="3" t="s">
        <v>71</v>
      </c>
      <c r="P3" s="3" t="s">
        <v>72</v>
      </c>
      <c r="Q3" s="3" t="s">
        <v>73</v>
      </c>
    </row>
    <row r="4" spans="1:17" ht="409.6">
      <c r="A4" s="2" t="s">
        <v>74</v>
      </c>
      <c r="B4" s="13" t="s">
        <v>337</v>
      </c>
      <c r="C4" s="13" t="s">
        <v>41</v>
      </c>
      <c r="D4" s="13" t="s">
        <v>338</v>
      </c>
      <c r="E4" s="13" t="s">
        <v>339</v>
      </c>
      <c r="F4" s="13" t="s">
        <v>362</v>
      </c>
      <c r="G4" s="14">
        <v>0.89859999999999995</v>
      </c>
      <c r="H4" s="14">
        <v>3.5400000000000001E-2</v>
      </c>
      <c r="I4" s="14">
        <v>6.59E-2</v>
      </c>
      <c r="J4" s="13" t="s">
        <v>120</v>
      </c>
      <c r="K4" s="13">
        <v>4</v>
      </c>
      <c r="L4" s="13" t="s">
        <v>340</v>
      </c>
      <c r="M4" s="13" t="s">
        <v>363</v>
      </c>
      <c r="N4" s="13">
        <v>5</v>
      </c>
      <c r="O4" s="13">
        <v>5</v>
      </c>
      <c r="P4" s="13">
        <v>5</v>
      </c>
      <c r="Q4" s="13">
        <v>5</v>
      </c>
    </row>
    <row r="5" spans="1:17" ht="388.8">
      <c r="A5" s="2" t="s">
        <v>75</v>
      </c>
      <c r="B5" s="13" t="s">
        <v>341</v>
      </c>
      <c r="C5" s="13" t="s">
        <v>41</v>
      </c>
      <c r="D5" s="13" t="s">
        <v>124</v>
      </c>
      <c r="E5" s="13" t="s">
        <v>342</v>
      </c>
      <c r="F5" s="13" t="s">
        <v>343</v>
      </c>
      <c r="G5" s="14">
        <v>0.77949999999999997</v>
      </c>
      <c r="H5" s="14">
        <v>0.13619999999999999</v>
      </c>
      <c r="I5" s="14">
        <v>8.4400000000000003E-2</v>
      </c>
      <c r="J5" s="13" t="s">
        <v>120</v>
      </c>
      <c r="K5" s="13">
        <v>14</v>
      </c>
      <c r="L5" s="13" t="s">
        <v>340</v>
      </c>
      <c r="M5" s="13" t="s">
        <v>364</v>
      </c>
      <c r="N5" s="13">
        <v>5</v>
      </c>
      <c r="O5" s="13">
        <v>4</v>
      </c>
      <c r="P5" s="13">
        <v>3</v>
      </c>
      <c r="Q5" s="13">
        <v>5</v>
      </c>
    </row>
    <row r="6" spans="1:17" ht="409.6">
      <c r="A6" s="2" t="s">
        <v>76</v>
      </c>
      <c r="B6" s="13" t="s">
        <v>337</v>
      </c>
      <c r="C6" s="13" t="s">
        <v>41</v>
      </c>
      <c r="D6" s="13" t="s">
        <v>338</v>
      </c>
      <c r="E6" s="13" t="s">
        <v>344</v>
      </c>
      <c r="F6" s="13" t="s">
        <v>365</v>
      </c>
      <c r="G6" s="14">
        <v>0.89770000000000005</v>
      </c>
      <c r="H6" s="14">
        <v>2.6800000000000001E-2</v>
      </c>
      <c r="I6" s="14">
        <v>7.5499999999999998E-2</v>
      </c>
      <c r="J6" s="13" t="s">
        <v>120</v>
      </c>
      <c r="K6" s="13">
        <v>3</v>
      </c>
      <c r="L6" s="13" t="s">
        <v>340</v>
      </c>
      <c r="M6" s="13" t="s">
        <v>366</v>
      </c>
      <c r="N6" s="13">
        <v>5</v>
      </c>
      <c r="O6" s="13">
        <v>5</v>
      </c>
      <c r="P6" s="13">
        <v>5</v>
      </c>
      <c r="Q6" s="13">
        <v>5</v>
      </c>
    </row>
    <row r="7" spans="1:17" ht="409.6">
      <c r="A7" s="2" t="s">
        <v>77</v>
      </c>
      <c r="B7" s="13" t="s">
        <v>337</v>
      </c>
      <c r="C7" s="13" t="s">
        <v>42</v>
      </c>
      <c r="D7" s="13" t="s">
        <v>338</v>
      </c>
      <c r="E7" s="13" t="s">
        <v>345</v>
      </c>
      <c r="F7" s="13" t="s">
        <v>346</v>
      </c>
      <c r="G7" s="14">
        <v>1.6E-2</v>
      </c>
      <c r="H7" s="14">
        <v>0.96430000000000005</v>
      </c>
      <c r="I7" s="14">
        <v>1.9800000000000002E-2</v>
      </c>
      <c r="J7" s="13" t="s">
        <v>126</v>
      </c>
      <c r="K7" s="13">
        <v>96</v>
      </c>
      <c r="L7" s="13" t="s">
        <v>347</v>
      </c>
      <c r="M7" s="13" t="s">
        <v>367</v>
      </c>
      <c r="N7" s="13">
        <v>5</v>
      </c>
      <c r="O7" s="13">
        <v>5</v>
      </c>
      <c r="P7" s="13">
        <v>5</v>
      </c>
      <c r="Q7" s="13">
        <v>5</v>
      </c>
    </row>
    <row r="8" spans="1:17" ht="409.6">
      <c r="A8" s="2" t="s">
        <v>78</v>
      </c>
      <c r="B8" s="13" t="s">
        <v>341</v>
      </c>
      <c r="C8" s="13" t="s">
        <v>42</v>
      </c>
      <c r="D8" s="13" t="s">
        <v>124</v>
      </c>
      <c r="E8" s="13" t="s">
        <v>348</v>
      </c>
      <c r="F8" s="13" t="s">
        <v>368</v>
      </c>
      <c r="G8" s="14">
        <v>1.9599999999999999E-2</v>
      </c>
      <c r="H8" s="14">
        <v>0.90010000000000001</v>
      </c>
      <c r="I8" s="14">
        <v>8.0399999999999999E-2</v>
      </c>
      <c r="J8" s="13" t="s">
        <v>126</v>
      </c>
      <c r="K8" s="13">
        <v>90</v>
      </c>
      <c r="L8" s="13" t="s">
        <v>347</v>
      </c>
      <c r="M8" s="13" t="s">
        <v>369</v>
      </c>
      <c r="N8" s="13">
        <v>5</v>
      </c>
      <c r="O8" s="13">
        <v>5</v>
      </c>
      <c r="P8" s="13">
        <v>4</v>
      </c>
      <c r="Q8" s="13">
        <v>5</v>
      </c>
    </row>
    <row r="9" spans="1:17" ht="409.6">
      <c r="A9" s="2" t="s">
        <v>79</v>
      </c>
      <c r="B9" s="13" t="s">
        <v>341</v>
      </c>
      <c r="C9" s="13" t="s">
        <v>42</v>
      </c>
      <c r="D9" s="13" t="s">
        <v>178</v>
      </c>
      <c r="E9" s="13" t="s">
        <v>349</v>
      </c>
      <c r="F9" s="13" t="s">
        <v>350</v>
      </c>
      <c r="G9" s="14">
        <v>2.6499999999999999E-2</v>
      </c>
      <c r="H9" s="14">
        <v>0.92249999999999999</v>
      </c>
      <c r="I9" s="14">
        <v>5.11E-2</v>
      </c>
      <c r="J9" s="13" t="s">
        <v>126</v>
      </c>
      <c r="K9" s="13">
        <v>92</v>
      </c>
      <c r="L9" s="13" t="s">
        <v>347</v>
      </c>
      <c r="M9" s="13" t="s">
        <v>351</v>
      </c>
      <c r="N9" s="13">
        <v>5</v>
      </c>
      <c r="O9" s="13">
        <v>5</v>
      </c>
      <c r="P9" s="13">
        <v>4</v>
      </c>
      <c r="Q9" s="13">
        <v>5</v>
      </c>
    </row>
    <row r="10" spans="1:17" ht="409.6">
      <c r="A10" s="2" t="s">
        <v>80</v>
      </c>
      <c r="B10" s="13" t="s">
        <v>337</v>
      </c>
      <c r="C10" s="13" t="s">
        <v>43</v>
      </c>
      <c r="D10" s="13" t="s">
        <v>338</v>
      </c>
      <c r="E10" s="13" t="s">
        <v>352</v>
      </c>
      <c r="F10" s="13" t="s">
        <v>370</v>
      </c>
      <c r="G10" s="14">
        <v>6.3100000000000003E-2</v>
      </c>
      <c r="H10" s="14">
        <v>3.1399999999999997E-2</v>
      </c>
      <c r="I10" s="14">
        <v>0.90549999999999997</v>
      </c>
      <c r="J10" s="13" t="s">
        <v>131</v>
      </c>
      <c r="K10" s="13">
        <v>3</v>
      </c>
      <c r="L10" s="13" t="s">
        <v>340</v>
      </c>
      <c r="M10" s="13" t="s">
        <v>371</v>
      </c>
      <c r="N10" s="13">
        <v>5</v>
      </c>
      <c r="O10" s="13">
        <v>5</v>
      </c>
      <c r="P10" s="13">
        <v>5</v>
      </c>
      <c r="Q10" s="13">
        <v>5</v>
      </c>
    </row>
    <row r="11" spans="1:17" ht="409.6">
      <c r="A11" s="2" t="s">
        <v>81</v>
      </c>
      <c r="B11" s="13" t="s">
        <v>341</v>
      </c>
      <c r="C11" s="13" t="s">
        <v>43</v>
      </c>
      <c r="D11" s="13" t="s">
        <v>124</v>
      </c>
      <c r="E11" s="13" t="s">
        <v>353</v>
      </c>
      <c r="F11" s="13" t="s">
        <v>372</v>
      </c>
      <c r="G11" s="14">
        <v>0.1696</v>
      </c>
      <c r="H11" s="14">
        <v>0.16350000000000001</v>
      </c>
      <c r="I11" s="14">
        <v>0.66690000000000005</v>
      </c>
      <c r="J11" s="13" t="s">
        <v>131</v>
      </c>
      <c r="K11" s="13">
        <v>16</v>
      </c>
      <c r="L11" s="13" t="s">
        <v>340</v>
      </c>
      <c r="M11" s="13" t="s">
        <v>373</v>
      </c>
      <c r="N11" s="13">
        <v>5</v>
      </c>
      <c r="O11" s="13">
        <v>5</v>
      </c>
      <c r="P11" s="13">
        <v>4</v>
      </c>
      <c r="Q11" s="13">
        <v>5</v>
      </c>
    </row>
    <row r="12" spans="1:17" ht="374.4">
      <c r="A12" s="2" t="s">
        <v>82</v>
      </c>
      <c r="B12" s="13" t="s">
        <v>337</v>
      </c>
      <c r="C12" s="13" t="s">
        <v>43</v>
      </c>
      <c r="D12" s="13" t="s">
        <v>338</v>
      </c>
      <c r="E12" s="13" t="s">
        <v>354</v>
      </c>
      <c r="F12" s="13" t="s">
        <v>355</v>
      </c>
      <c r="G12" s="14">
        <v>7.8799999999999995E-2</v>
      </c>
      <c r="H12" s="14">
        <v>1.4200000000000001E-2</v>
      </c>
      <c r="I12" s="14">
        <v>0.90700000000000003</v>
      </c>
      <c r="J12" s="13" t="s">
        <v>131</v>
      </c>
      <c r="K12" s="13">
        <v>1</v>
      </c>
      <c r="L12" s="13" t="s">
        <v>340</v>
      </c>
      <c r="M12" s="13" t="s">
        <v>374</v>
      </c>
      <c r="N12" s="13">
        <v>5</v>
      </c>
      <c r="O12" s="13">
        <v>5</v>
      </c>
      <c r="P12" s="13">
        <v>5</v>
      </c>
      <c r="Q12" s="13">
        <v>5</v>
      </c>
    </row>
    <row r="13" spans="1:17" ht="409.6">
      <c r="A13" s="2" t="s">
        <v>83</v>
      </c>
      <c r="B13" s="13" t="s">
        <v>337</v>
      </c>
      <c r="C13" s="13" t="s">
        <v>356</v>
      </c>
      <c r="D13" s="13" t="s">
        <v>338</v>
      </c>
      <c r="E13" s="13" t="s">
        <v>357</v>
      </c>
      <c r="F13" s="13" t="s">
        <v>358</v>
      </c>
      <c r="G13" s="14">
        <v>0.3231</v>
      </c>
      <c r="H13" s="14">
        <v>0.44729999999999998</v>
      </c>
      <c r="I13" s="14">
        <v>0.2296</v>
      </c>
      <c r="J13" s="13" t="s">
        <v>126</v>
      </c>
      <c r="K13" s="13">
        <v>45</v>
      </c>
      <c r="L13" s="13" t="s">
        <v>359</v>
      </c>
      <c r="M13" s="13" t="s">
        <v>375</v>
      </c>
      <c r="N13" s="13">
        <v>5</v>
      </c>
      <c r="O13" s="13">
        <v>5</v>
      </c>
      <c r="P13" s="13">
        <v>5</v>
      </c>
      <c r="Q13" s="13">
        <v>4</v>
      </c>
    </row>
    <row r="14" spans="1:17" ht="374.4">
      <c r="A14" s="2" t="s">
        <v>84</v>
      </c>
      <c r="B14" s="13" t="s">
        <v>341</v>
      </c>
      <c r="C14" s="13" t="s">
        <v>356</v>
      </c>
      <c r="D14" s="13" t="s">
        <v>124</v>
      </c>
      <c r="E14" s="13" t="s">
        <v>360</v>
      </c>
      <c r="F14" s="13" t="s">
        <v>376</v>
      </c>
      <c r="G14" s="14">
        <v>0.49990000000000001</v>
      </c>
      <c r="H14" s="14">
        <v>0.30980000000000002</v>
      </c>
      <c r="I14" s="14">
        <v>0.19040000000000001</v>
      </c>
      <c r="J14" s="13" t="s">
        <v>120</v>
      </c>
      <c r="K14" s="13">
        <v>31</v>
      </c>
      <c r="L14" s="13" t="s">
        <v>340</v>
      </c>
      <c r="M14" s="13" t="s">
        <v>377</v>
      </c>
      <c r="N14" s="13">
        <v>5</v>
      </c>
      <c r="O14" s="13">
        <v>4</v>
      </c>
      <c r="P14" s="13">
        <v>5</v>
      </c>
      <c r="Q14" s="13">
        <v>5</v>
      </c>
    </row>
    <row r="15" spans="1:17" ht="409.6">
      <c r="A15" s="2" t="s">
        <v>85</v>
      </c>
      <c r="B15" s="13" t="s">
        <v>341</v>
      </c>
      <c r="C15" s="13" t="s">
        <v>356</v>
      </c>
      <c r="D15" s="13" t="s">
        <v>138</v>
      </c>
      <c r="E15" s="13" t="s">
        <v>361</v>
      </c>
      <c r="F15" s="13" t="s">
        <v>378</v>
      </c>
      <c r="G15" s="14">
        <v>4.7100000000000003E-2</v>
      </c>
      <c r="H15" s="14">
        <v>0.54249999999999998</v>
      </c>
      <c r="I15" s="14">
        <v>0.41039999999999999</v>
      </c>
      <c r="J15" s="13" t="s">
        <v>126</v>
      </c>
      <c r="K15" s="13">
        <v>54</v>
      </c>
      <c r="L15" s="13" t="s">
        <v>359</v>
      </c>
      <c r="M15" s="13" t="s">
        <v>379</v>
      </c>
      <c r="N15" s="13">
        <v>5</v>
      </c>
      <c r="O15" s="13">
        <v>5</v>
      </c>
      <c r="P15" s="13">
        <v>5</v>
      </c>
      <c r="Q15" s="13">
        <v>5</v>
      </c>
    </row>
  </sheetData>
  <mergeCells count="1">
    <mergeCell ref="A1:Q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84FC1-0E02-4AF4-ACD5-296454D2C3AE}">
  <dimension ref="A1:D24"/>
  <sheetViews>
    <sheetView workbookViewId="0">
      <selection activeCell="G5" sqref="G5"/>
    </sheetView>
  </sheetViews>
  <sheetFormatPr defaultRowHeight="13.8"/>
  <sheetData>
    <row r="1" spans="1:4" ht="39.6" customHeight="1">
      <c r="A1" s="20" t="s">
        <v>380</v>
      </c>
      <c r="B1" s="20"/>
      <c r="C1" s="20"/>
      <c r="D1" s="20"/>
    </row>
    <row r="2" spans="1:4" ht="14.4">
      <c r="A2" s="15"/>
      <c r="B2" s="15"/>
      <c r="C2" s="15"/>
      <c r="D2" s="15"/>
    </row>
    <row r="3" spans="1:4" ht="28.8">
      <c r="A3" s="16" t="s">
        <v>381</v>
      </c>
      <c r="B3" s="16" t="s">
        <v>382</v>
      </c>
      <c r="C3" s="16" t="s">
        <v>383</v>
      </c>
      <c r="D3" s="15"/>
    </row>
    <row r="4" spans="1:4" ht="14.4">
      <c r="A4" s="15" t="s">
        <v>384</v>
      </c>
      <c r="B4" s="17">
        <v>5</v>
      </c>
      <c r="C4" s="17">
        <v>5</v>
      </c>
      <c r="D4" s="15"/>
    </row>
    <row r="5" spans="1:4" ht="43.2">
      <c r="A5" s="15" t="s">
        <v>385</v>
      </c>
      <c r="B5" s="17">
        <v>4.83</v>
      </c>
      <c r="C5" s="17">
        <v>5</v>
      </c>
      <c r="D5" s="15"/>
    </row>
    <row r="6" spans="1:4" ht="28.8">
      <c r="A6" s="15" t="s">
        <v>386</v>
      </c>
      <c r="B6" s="17">
        <v>4.58</v>
      </c>
      <c r="C6" s="17">
        <v>5</v>
      </c>
      <c r="D6" s="15"/>
    </row>
    <row r="7" spans="1:4" ht="14.4">
      <c r="A7" s="15" t="s">
        <v>387</v>
      </c>
      <c r="B7" s="17">
        <v>4.92</v>
      </c>
      <c r="C7" s="17">
        <v>5</v>
      </c>
      <c r="D7" s="15"/>
    </row>
    <row r="8" spans="1:4" ht="28.8">
      <c r="A8" s="15" t="s">
        <v>388</v>
      </c>
      <c r="B8" s="17">
        <v>5</v>
      </c>
      <c r="C8" s="17">
        <v>5</v>
      </c>
      <c r="D8" s="15"/>
    </row>
    <row r="9" spans="1:4" ht="43.2">
      <c r="A9" s="15" t="s">
        <v>389</v>
      </c>
      <c r="B9" s="17">
        <v>4.83</v>
      </c>
      <c r="C9" s="17">
        <v>5</v>
      </c>
      <c r="D9" s="15"/>
    </row>
    <row r="10" spans="1:4" ht="14.4">
      <c r="A10" s="15" t="s">
        <v>390</v>
      </c>
      <c r="B10" s="17">
        <v>5</v>
      </c>
      <c r="C10" s="17">
        <v>5</v>
      </c>
      <c r="D10" s="15"/>
    </row>
    <row r="11" spans="1:4" ht="28.8">
      <c r="A11" s="18" t="s">
        <v>391</v>
      </c>
      <c r="B11" s="19">
        <v>4.88</v>
      </c>
      <c r="C11" s="19">
        <v>5</v>
      </c>
      <c r="D11" s="15"/>
    </row>
    <row r="12" spans="1:4" ht="14.4">
      <c r="A12" s="15"/>
      <c r="B12" s="15"/>
      <c r="C12" s="15"/>
      <c r="D12" s="15"/>
    </row>
    <row r="13" spans="1:4" ht="14.4">
      <c r="A13" s="15"/>
      <c r="B13" s="15"/>
      <c r="C13" s="15"/>
      <c r="D13" s="15"/>
    </row>
    <row r="14" spans="1:4" ht="43.2">
      <c r="A14" s="16" t="s">
        <v>392</v>
      </c>
      <c r="B14" s="16" t="s">
        <v>393</v>
      </c>
      <c r="C14" s="15"/>
      <c r="D14" s="15"/>
    </row>
    <row r="15" spans="1:4" ht="57.6">
      <c r="A15" s="15" t="s">
        <v>394</v>
      </c>
      <c r="B15" s="15" t="s">
        <v>395</v>
      </c>
      <c r="C15" s="15"/>
      <c r="D15" s="15"/>
    </row>
    <row r="16" spans="1:4" ht="72">
      <c r="A16" s="15" t="s">
        <v>396</v>
      </c>
      <c r="B16" s="15" t="s">
        <v>395</v>
      </c>
      <c r="C16" s="15"/>
      <c r="D16" s="15"/>
    </row>
    <row r="17" spans="1:4" ht="57.6">
      <c r="A17" s="15" t="s">
        <v>397</v>
      </c>
      <c r="B17" s="15" t="s">
        <v>398</v>
      </c>
      <c r="C17" s="15"/>
      <c r="D17" s="15"/>
    </row>
    <row r="18" spans="1:4" ht="14.4">
      <c r="A18" s="15"/>
      <c r="B18" s="15"/>
      <c r="C18" s="15"/>
      <c r="D18" s="15"/>
    </row>
    <row r="19" spans="1:4" ht="14.4">
      <c r="A19" s="15"/>
      <c r="B19" s="15"/>
      <c r="C19" s="15"/>
      <c r="D19" s="15"/>
    </row>
    <row r="20" spans="1:4" ht="43.2">
      <c r="A20" s="16" t="s">
        <v>399</v>
      </c>
      <c r="B20" s="16" t="s">
        <v>400</v>
      </c>
      <c r="C20" s="15"/>
      <c r="D20" s="15"/>
    </row>
    <row r="21" spans="1:4" ht="72">
      <c r="A21" s="15" t="s">
        <v>401</v>
      </c>
      <c r="B21" s="15" t="s">
        <v>402</v>
      </c>
      <c r="C21" s="15"/>
      <c r="D21" s="15"/>
    </row>
    <row r="22" spans="1:4" ht="28.8">
      <c r="A22" s="15" t="s">
        <v>403</v>
      </c>
      <c r="B22" s="15" t="s">
        <v>386</v>
      </c>
      <c r="C22" s="15"/>
      <c r="D22" s="15"/>
    </row>
    <row r="23" spans="1:4" ht="187.2">
      <c r="A23" s="15" t="s">
        <v>404</v>
      </c>
      <c r="B23" s="15" t="s">
        <v>405</v>
      </c>
      <c r="C23" s="15"/>
      <c r="D23" s="15"/>
    </row>
    <row r="24" spans="1:4" ht="172.8">
      <c r="A24" s="15" t="s">
        <v>406</v>
      </c>
      <c r="B24" s="15" t="s">
        <v>407</v>
      </c>
      <c r="C24" s="15"/>
      <c r="D24" s="15"/>
    </row>
  </sheetDat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5"/>
  <sheetViews>
    <sheetView workbookViewId="0">
      <selection sqref="A1:D1"/>
    </sheetView>
  </sheetViews>
  <sheetFormatPr defaultRowHeight="13.8"/>
  <cols>
    <col min="1" max="1" width="42" customWidth="1"/>
    <col min="2" max="2" width="58" customWidth="1"/>
    <col min="3" max="3" width="48" customWidth="1"/>
    <col min="4" max="4" width="16" customWidth="1"/>
  </cols>
  <sheetData>
    <row r="1" spans="1:4" ht="19.2">
      <c r="A1" s="11" t="s">
        <v>86</v>
      </c>
      <c r="B1" s="11"/>
      <c r="C1" s="11"/>
      <c r="D1" s="11"/>
    </row>
    <row r="3" spans="1:4">
      <c r="A3" s="3" t="s">
        <v>87</v>
      </c>
      <c r="B3" s="3" t="s">
        <v>88</v>
      </c>
      <c r="C3" s="3" t="s">
        <v>89</v>
      </c>
      <c r="D3" s="3" t="s">
        <v>90</v>
      </c>
    </row>
    <row r="4" spans="1:4">
      <c r="A4" s="2" t="s">
        <v>91</v>
      </c>
      <c r="B4" s="2" t="s">
        <v>92</v>
      </c>
      <c r="C4" s="2"/>
      <c r="D4" s="2"/>
    </row>
    <row r="5" spans="1:4">
      <c r="A5" s="2" t="s">
        <v>93</v>
      </c>
      <c r="B5" s="2" t="s">
        <v>94</v>
      </c>
      <c r="C5" s="2"/>
      <c r="D5" s="2"/>
    </row>
    <row r="6" spans="1:4">
      <c r="A6" s="2" t="s">
        <v>95</v>
      </c>
      <c r="B6" s="2" t="s">
        <v>96</v>
      </c>
      <c r="C6" s="2"/>
      <c r="D6" s="2"/>
    </row>
    <row r="7" spans="1:4">
      <c r="A7" s="2" t="s">
        <v>97</v>
      </c>
      <c r="B7" s="2" t="s">
        <v>98</v>
      </c>
      <c r="C7" s="2"/>
      <c r="D7" s="2"/>
    </row>
    <row r="8" spans="1:4">
      <c r="A8" s="2" t="s">
        <v>99</v>
      </c>
      <c r="B8" s="2" t="s">
        <v>100</v>
      </c>
      <c r="C8" s="2"/>
      <c r="D8" s="2"/>
    </row>
    <row r="9" spans="1:4">
      <c r="A9" s="2" t="s">
        <v>101</v>
      </c>
      <c r="B9" s="2" t="s">
        <v>102</v>
      </c>
      <c r="C9" s="2"/>
      <c r="D9" s="2"/>
    </row>
    <row r="10" spans="1:4">
      <c r="A10" s="2" t="s">
        <v>103</v>
      </c>
      <c r="B10" s="2" t="s">
        <v>104</v>
      </c>
      <c r="C10" s="2"/>
      <c r="D10" s="2"/>
    </row>
    <row r="11" spans="1:4">
      <c r="A11" s="2" t="s">
        <v>105</v>
      </c>
      <c r="B11" s="2" t="s">
        <v>106</v>
      </c>
      <c r="C11" s="2"/>
      <c r="D11" s="2"/>
    </row>
    <row r="12" spans="1:4">
      <c r="A12" s="2" t="s">
        <v>107</v>
      </c>
      <c r="B12" s="2" t="s">
        <v>108</v>
      </c>
      <c r="C12" s="2"/>
      <c r="D12" s="2"/>
    </row>
    <row r="13" spans="1:4">
      <c r="A13" s="2" t="s">
        <v>109</v>
      </c>
      <c r="B13" s="2" t="s">
        <v>110</v>
      </c>
      <c r="C13" s="2"/>
      <c r="D13" s="2"/>
    </row>
    <row r="14" spans="1:4">
      <c r="A14" s="2" t="s">
        <v>111</v>
      </c>
      <c r="B14" s="2" t="s">
        <v>112</v>
      </c>
      <c r="C14" s="2"/>
      <c r="D14" s="2"/>
    </row>
    <row r="15" spans="1:4">
      <c r="A15" s="2" t="s">
        <v>113</v>
      </c>
      <c r="B15" s="2" t="s">
        <v>114</v>
      </c>
      <c r="C15" s="2"/>
      <c r="D15" s="2"/>
    </row>
  </sheetData>
  <mergeCells count="1">
    <mergeCell ref="A1:D1"/>
  </mergeCells>
  <dataValidations count="1">
    <dataValidation type="list" sqref="D4:D15" xr:uid="{00000000-0002-0000-0400-000000000000}">
      <formula1>"PASS,FAIL,NOT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Headline Dataset</vt:lpstr>
      <vt:lpstr>FinBERT Metrics</vt:lpstr>
      <vt:lpstr>OpenAI Review</vt:lpstr>
      <vt:lpstr>OpenAI Sumary</vt:lpstr>
      <vt:lpstr>Integration 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SEE JIE SHENG</cp:lastModifiedBy>
  <dcterms:created xsi:type="dcterms:W3CDTF">2026-06-24T10:26:37Z</dcterms:created>
  <dcterms:modified xsi:type="dcterms:W3CDTF">2026-06-24T13:50:47Z</dcterms:modified>
</cp:coreProperties>
</file>